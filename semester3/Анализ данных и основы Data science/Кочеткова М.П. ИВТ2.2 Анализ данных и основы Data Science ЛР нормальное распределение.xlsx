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Мария\Desktop\ад\"/>
    </mc:Choice>
  </mc:AlternateContent>
  <xr:revisionPtr revIDLastSave="0" documentId="13_ncr:1_{8E1C0CDF-222B-4F00-B99A-C046B86C1AF9}" xr6:coauthVersionLast="47" xr6:coauthVersionMax="47" xr10:uidLastSave="{00000000-0000-0000-0000-000000000000}"/>
  <bookViews>
    <workbookView xWindow="-98" yWindow="-98" windowWidth="19095" windowHeight="12075" activeTab="1" xr2:uid="{00000000-000D-0000-FFFF-FFFF00000000}"/>
  </bookViews>
  <sheets>
    <sheet name="Задание1" sheetId="1" r:id="rId1"/>
    <sheet name="Задание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2" l="1"/>
  <c r="O5" i="1"/>
  <c r="O7" i="1"/>
  <c r="O8" i="1"/>
  <c r="O9" i="1"/>
  <c r="O10" i="1"/>
  <c r="O11" i="1"/>
  <c r="O12" i="1"/>
  <c r="O13" i="1"/>
  <c r="O14" i="1"/>
  <c r="O15" i="1"/>
  <c r="O16" i="1"/>
  <c r="O17" i="1"/>
  <c r="O18" i="1"/>
  <c r="O6" i="1"/>
  <c r="H5" i="1"/>
  <c r="F5" i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5" i="2"/>
  <c r="R19" i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5" i="2"/>
  <c r="F19" i="2"/>
  <c r="D19" i="2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D19" i="1"/>
  <c r="B21" i="1" l="1"/>
  <c r="E25" i="1" s="1"/>
  <c r="E26" i="1" l="1"/>
  <c r="E27" i="1"/>
  <c r="E24" i="1"/>
  <c r="E23" i="1"/>
  <c r="E28" i="1"/>
  <c r="E29" i="1"/>
  <c r="E31" i="1"/>
  <c r="E33" i="1"/>
  <c r="E30" i="1"/>
  <c r="E32" i="1"/>
  <c r="E22" i="1"/>
  <c r="E34" i="1"/>
  <c r="E35" i="1"/>
  <c r="B22" i="1" l="1"/>
  <c r="H8" i="1" l="1"/>
  <c r="K8" i="1" s="1"/>
  <c r="H7" i="1"/>
  <c r="K7" i="1" s="1"/>
  <c r="H6" i="1"/>
  <c r="K6" i="1" s="1"/>
  <c r="H12" i="1"/>
  <c r="K12" i="1" s="1"/>
  <c r="H14" i="1"/>
  <c r="K14" i="1" s="1"/>
  <c r="H15" i="1"/>
  <c r="K15" i="1" s="1"/>
  <c r="H17" i="1"/>
  <c r="K17" i="1" s="1"/>
  <c r="K5" i="1"/>
  <c r="H18" i="1"/>
  <c r="K18" i="1" s="1"/>
  <c r="H11" i="1"/>
  <c r="K11" i="1" s="1"/>
  <c r="H13" i="1"/>
  <c r="K13" i="1" s="1"/>
  <c r="H16" i="1"/>
  <c r="K16" i="1" s="1"/>
  <c r="H10" i="1"/>
  <c r="K10" i="1" s="1"/>
  <c r="H9" i="1"/>
  <c r="K9" i="1" s="1"/>
  <c r="O19" i="1" l="1"/>
</calcChain>
</file>

<file path=xl/sharedStrings.xml><?xml version="1.0" encoding="utf-8"?>
<sst xmlns="http://schemas.openxmlformats.org/spreadsheetml/2006/main" count="58" uniqueCount="22">
  <si>
    <t>Сумма затрат предприятий на производство, тыс. руб.</t>
  </si>
  <si>
    <t>-</t>
  </si>
  <si>
    <t>А</t>
  </si>
  <si>
    <t>Кол-во предприятий, f_i</t>
  </si>
  <si>
    <t>Середина интервала, x_i</t>
  </si>
  <si>
    <t>Итого</t>
  </si>
  <si>
    <t>σ</t>
  </si>
  <si>
    <t>x̅</t>
  </si>
  <si>
    <t>(x_i - x̅)^2*f_i</t>
  </si>
  <si>
    <t>по таблице</t>
  </si>
  <si>
    <t>по формуле</t>
  </si>
  <si>
    <t>Кол-во предприятий (эмперические частоты)</t>
  </si>
  <si>
    <t>f_i</t>
  </si>
  <si>
    <t>f_m</t>
  </si>
  <si>
    <t>Теоретические частоты</t>
  </si>
  <si>
    <t>Накопленные эмперические частоты</t>
  </si>
  <si>
    <t>F_i</t>
  </si>
  <si>
    <t>Накопленные теоретические частоты</t>
  </si>
  <si>
    <t>F_m</t>
  </si>
  <si>
    <t>D_max</t>
  </si>
  <si>
    <t>=&gt;</t>
  </si>
  <si>
    <t>распределение исследуемых данных достаточно близко к нормальному закону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</si>
</sst>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000"/>
  </numFmts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7F7F7F"/>
      </bottom>
      <diagonal/>
    </border>
    <border>
      <left/>
      <right/>
      <top style="thin">
        <color rgb="FF3F3F3F"/>
      </top>
      <bottom style="thin">
        <color rgb="FF7F7F7F"/>
      </bottom>
      <diagonal/>
    </border>
    <border>
      <left/>
      <right style="thin">
        <color rgb="FF3F3F3F"/>
      </right>
      <top style="thin">
        <color rgb="FF3F3F3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</borders>
  <cellStyleXfs count="3">
    <xf numFmtId="0" fontId="0" fillId="0" borderId="0"/>
    <xf numFmtId="0" fontId="1" fillId="2" borderId="2" applyNumberFormat="0" applyAlignment="0" applyProtection="0"/>
    <xf numFmtId="0" fontId="2" fillId="2" borderId="1" applyNumberFormat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2" borderId="2" xfId="1" applyAlignment="1">
      <alignment horizontal="center"/>
    </xf>
    <xf numFmtId="0" fontId="1" fillId="2" borderId="8" xfId="1" applyBorder="1" applyAlignment="1"/>
    <xf numFmtId="0" fontId="1" fillId="2" borderId="9" xfId="1" applyBorder="1" applyAlignment="1"/>
    <xf numFmtId="0" fontId="1" fillId="2" borderId="11" xfId="1" applyBorder="1" applyAlignment="1"/>
    <xf numFmtId="0" fontId="1" fillId="2" borderId="7" xfId="1" applyBorder="1" applyAlignment="1"/>
    <xf numFmtId="165" fontId="0" fillId="0" borderId="0" xfId="0" applyNumberFormat="1" applyAlignment="1">
      <alignment horizontal="center"/>
    </xf>
    <xf numFmtId="0" fontId="1" fillId="2" borderId="8" xfId="1" applyBorder="1" applyAlignment="1">
      <alignment horizontal="center" vertical="center" wrapText="1"/>
    </xf>
    <xf numFmtId="0" fontId="1" fillId="2" borderId="10" xfId="1" applyBorder="1" applyAlignment="1">
      <alignment horizontal="center" vertical="center" wrapText="1"/>
    </xf>
    <xf numFmtId="0" fontId="1" fillId="2" borderId="13" xfId="1" applyBorder="1" applyAlignment="1">
      <alignment horizontal="center" vertical="center" wrapText="1"/>
    </xf>
    <xf numFmtId="0" fontId="1" fillId="2" borderId="14" xfId="1" applyBorder="1" applyAlignment="1">
      <alignment horizontal="center" vertical="center" wrapText="1"/>
    </xf>
    <xf numFmtId="0" fontId="1" fillId="2" borderId="11" xfId="1" applyBorder="1" applyAlignment="1">
      <alignment horizontal="center" vertical="center" wrapText="1"/>
    </xf>
    <xf numFmtId="0" fontId="1" fillId="2" borderId="12" xfId="1" applyBorder="1" applyAlignment="1">
      <alignment horizontal="center" vertical="center" wrapText="1"/>
    </xf>
    <xf numFmtId="0" fontId="1" fillId="2" borderId="9" xfId="1" applyBorder="1" applyAlignment="1">
      <alignment horizontal="center" vertical="center" wrapText="1"/>
    </xf>
    <xf numFmtId="0" fontId="1" fillId="2" borderId="0" xfId="1" applyBorder="1" applyAlignment="1">
      <alignment horizontal="center" vertical="center" wrapText="1"/>
    </xf>
    <xf numFmtId="0" fontId="1" fillId="2" borderId="7" xfId="1" applyBorder="1" applyAlignment="1">
      <alignment horizontal="center" vertical="center" wrapText="1"/>
    </xf>
    <xf numFmtId="0" fontId="2" fillId="2" borderId="1" xfId="2" applyAlignment="1">
      <alignment horizontal="center" wrapText="1"/>
    </xf>
    <xf numFmtId="0" fontId="2" fillId="2" borderId="1" xfId="2" applyAlignment="1">
      <alignment horizontal="center"/>
    </xf>
    <xf numFmtId="0" fontId="1" fillId="2" borderId="2" xfId="1" applyAlignment="1">
      <alignment horizontal="right"/>
    </xf>
    <xf numFmtId="0" fontId="0" fillId="0" borderId="0" xfId="0" applyAlignment="1">
      <alignment horizontal="center"/>
    </xf>
    <xf numFmtId="0" fontId="1" fillId="2" borderId="2" xfId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1" fillId="2" borderId="5" xfId="1" applyBorder="1" applyAlignment="1">
      <alignment horizontal="center"/>
    </xf>
    <xf numFmtId="2" fontId="0" fillId="0" borderId="0" xfId="0" applyNumberFormat="1" applyAlignment="1">
      <alignment horizontal="center"/>
    </xf>
    <xf numFmtId="1" fontId="1" fillId="2" borderId="2" xfId="1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5" xfId="1" applyBorder="1" applyAlignment="1">
      <alignment horizontal="center"/>
    </xf>
    <xf numFmtId="0" fontId="1" fillId="2" borderId="16" xfId="1" applyBorder="1" applyAlignment="1">
      <alignment horizontal="center"/>
    </xf>
    <xf numFmtId="0" fontId="1" fillId="2" borderId="17" xfId="1" applyBorder="1" applyAlignment="1">
      <alignment horizontal="center"/>
    </xf>
    <xf numFmtId="0" fontId="1" fillId="2" borderId="8" xfId="1" applyBorder="1" applyAlignment="1">
      <alignment horizontal="center"/>
    </xf>
    <xf numFmtId="0" fontId="1" fillId="2" borderId="9" xfId="1" applyBorder="1" applyAlignment="1">
      <alignment horizontal="center"/>
    </xf>
    <xf numFmtId="0" fontId="1" fillId="2" borderId="10" xfId="1" applyBorder="1" applyAlignment="1">
      <alignment horizontal="center"/>
    </xf>
    <xf numFmtId="0" fontId="1" fillId="2" borderId="13" xfId="1" applyBorder="1" applyAlignment="1">
      <alignment horizontal="center"/>
    </xf>
    <xf numFmtId="0" fontId="1" fillId="2" borderId="0" xfId="1" applyBorder="1" applyAlignment="1">
      <alignment horizontal="center"/>
    </xf>
    <xf numFmtId="0" fontId="1" fillId="2" borderId="14" xfId="1" applyBorder="1" applyAlignment="1">
      <alignment horizontal="center"/>
    </xf>
    <xf numFmtId="0" fontId="1" fillId="2" borderId="11" xfId="1" applyBorder="1" applyAlignment="1">
      <alignment horizontal="center"/>
    </xf>
    <xf numFmtId="0" fontId="1" fillId="2" borderId="7" xfId="1" applyBorder="1" applyAlignment="1">
      <alignment horizontal="center"/>
    </xf>
    <xf numFmtId="0" fontId="1" fillId="2" borderId="12" xfId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1" fillId="2" borderId="2" xfId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2" borderId="2" xfId="1" applyNumberFormat="1" applyAlignment="1">
      <alignment horizontal="center" vertical="center"/>
    </xf>
    <xf numFmtId="0" fontId="2" fillId="2" borderId="1" xfId="2" applyAlignment="1">
      <alignment horizontal="center" vertical="center" wrapText="1"/>
    </xf>
    <xf numFmtId="0" fontId="1" fillId="2" borderId="2" xfId="1" applyAlignment="1">
      <alignment horizontal="center" vertical="center"/>
    </xf>
    <xf numFmtId="0" fontId="1" fillId="2" borderId="18" xfId="1" applyBorder="1" applyAlignment="1">
      <alignment horizontal="center" vertical="center" wrapText="1"/>
    </xf>
    <xf numFmtId="0" fontId="0" fillId="0" borderId="0" xfId="0" quotePrefix="1" applyAlignment="1">
      <alignment horizontal="center"/>
    </xf>
  </cellXfs>
  <cellStyles count="3">
    <cellStyle name="Вывод" xfId="1" builtinId="21"/>
    <cellStyle name="Вычисление" xfId="2" builtinId="2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552449</xdr:colOff>
      <xdr:row>0</xdr:row>
      <xdr:rowOff>121444</xdr:rowOff>
    </xdr:from>
    <xdr:ext cx="771526" cy="3126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7655AFE-0550-2E3B-465A-81152B9F6848}"/>
                </a:ext>
              </a:extLst>
            </xdr:cNvPr>
            <xdr:cNvSpPr txBox="1"/>
          </xdr:nvSpPr>
          <xdr:spPr>
            <a:xfrm>
              <a:off x="5086349" y="121444"/>
              <a:ext cx="771526" cy="3126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i</m:t>
                            </m:r>
                          </m:sub>
                        </m:sSub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x</m:t>
                            </m:r>
                          </m:e>
                        </m:acc>
                      </m:num>
                      <m:den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den>
                    </m:f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7655AFE-0550-2E3B-465A-81152B9F6848}"/>
                </a:ext>
              </a:extLst>
            </xdr:cNvPr>
            <xdr:cNvSpPr txBox="1"/>
          </xdr:nvSpPr>
          <xdr:spPr>
            <a:xfrm>
              <a:off x="5086349" y="121444"/>
              <a:ext cx="771526" cy="3126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t_i=(x_i−x ̅)/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11</xdr:col>
      <xdr:colOff>173830</xdr:colOff>
      <xdr:row>0</xdr:row>
      <xdr:rowOff>0</xdr:rowOff>
    </xdr:from>
    <xdr:ext cx="1035476" cy="364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96508F6-4EBC-FB33-162B-773179061F75}"/>
                </a:ext>
              </a:extLst>
            </xdr:cNvPr>
            <xdr:cNvSpPr txBox="1"/>
          </xdr:nvSpPr>
          <xdr:spPr>
            <a:xfrm>
              <a:off x="7298530" y="0"/>
              <a:ext cx="1035476" cy="364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ru-RU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φ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t</m:t>
                        </m:r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π</m:t>
                            </m:r>
                          </m:e>
                        </m:rad>
                      </m:den>
                    </m:f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e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t</m:t>
                                </m:r>
                              </m:e>
                              <m:sup>
                                <m:r>
                                  <a:rPr lang="en-US" sz="1100" b="0" i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1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96508F6-4EBC-FB33-162B-773179061F75}"/>
                </a:ext>
              </a:extLst>
            </xdr:cNvPr>
            <xdr:cNvSpPr txBox="1"/>
          </xdr:nvSpPr>
          <xdr:spPr>
            <a:xfrm>
              <a:off x="7298530" y="0"/>
              <a:ext cx="1035476" cy="364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(t)=1/√2π e^(−t^2/2)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14</xdr:col>
      <xdr:colOff>602457</xdr:colOff>
      <xdr:row>0</xdr:row>
      <xdr:rowOff>95250</xdr:rowOff>
    </xdr:from>
    <xdr:ext cx="822533" cy="3214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8B116F-A5A2-401E-636B-65910BE95F7C}"/>
                </a:ext>
              </a:extLst>
            </xdr:cNvPr>
            <xdr:cNvSpPr txBox="1"/>
          </xdr:nvSpPr>
          <xdr:spPr>
            <a:xfrm>
              <a:off x="9670257" y="95250"/>
              <a:ext cx="822533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f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φ</m:t>
                    </m:r>
                    <m: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t</m:t>
                    </m:r>
                    <m: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Nd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den>
                    </m:f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8B116F-A5A2-401E-636B-65910BE95F7C}"/>
                </a:ext>
              </a:extLst>
            </xdr:cNvPr>
            <xdr:cNvSpPr txBox="1"/>
          </xdr:nvSpPr>
          <xdr:spPr>
            <a:xfrm>
              <a:off x="9670257" y="95250"/>
              <a:ext cx="822533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f_m=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φ(t)Nd/σ</a:t>
              </a:r>
              <a:endParaRPr lang="ru-RU" sz="1100" i="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116682</xdr:colOff>
      <xdr:row>1</xdr:row>
      <xdr:rowOff>92869</xdr:rowOff>
    </xdr:from>
    <xdr:ext cx="110728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F80C470-ABCE-464E-AAD6-062CACF10DE4}"/>
                </a:ext>
              </a:extLst>
            </xdr:cNvPr>
            <xdr:cNvSpPr txBox="1"/>
          </xdr:nvSpPr>
          <xdr:spPr>
            <a:xfrm>
              <a:off x="7431882" y="273844"/>
              <a:ext cx="110728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i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=|</m:t>
                    </m:r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F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i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F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200" i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F80C470-ABCE-464E-AAD6-062CACF10DE4}"/>
                </a:ext>
              </a:extLst>
            </xdr:cNvPr>
            <xdr:cNvSpPr txBox="1"/>
          </xdr:nvSpPr>
          <xdr:spPr>
            <a:xfrm>
              <a:off x="7431882" y="273844"/>
              <a:ext cx="110728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D_i=|F_i−F_m |</a:t>
              </a:r>
              <a:endParaRPr lang="ru-RU" sz="1200" i="0"/>
            </a:p>
          </xdr:txBody>
        </xdr:sp>
      </mc:Fallback>
    </mc:AlternateContent>
    <xdr:clientData/>
  </xdr:oneCellAnchor>
  <xdr:oneCellAnchor>
    <xdr:from>
      <xdr:col>0</xdr:col>
      <xdr:colOff>252412</xdr:colOff>
      <xdr:row>22</xdr:row>
      <xdr:rowOff>14287</xdr:rowOff>
    </xdr:from>
    <xdr:ext cx="1006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8917ED4-44AE-D83A-D635-831E20E2E65B}"/>
                </a:ext>
              </a:extLst>
            </xdr:cNvPr>
            <xdr:cNvSpPr txBox="1"/>
          </xdr:nvSpPr>
          <xdr:spPr>
            <a:xfrm>
              <a:off x="252412" y="3995737"/>
              <a:ext cx="1006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ru-RU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λ</m:t>
                    </m:r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8917ED4-44AE-D83A-D635-831E20E2E65B}"/>
                </a:ext>
              </a:extLst>
            </xdr:cNvPr>
            <xdr:cNvSpPr txBox="1"/>
          </xdr:nvSpPr>
          <xdr:spPr>
            <a:xfrm>
              <a:off x="252412" y="3995737"/>
              <a:ext cx="1006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λ</a:t>
              </a:r>
              <a:endParaRPr lang="ru-RU" sz="1100" i="0"/>
            </a:p>
          </xdr:txBody>
        </xdr:sp>
      </mc:Fallback>
    </mc:AlternateContent>
    <xdr:clientData/>
  </xdr:oneCellAnchor>
  <xdr:oneCellAnchor>
    <xdr:from>
      <xdr:col>4</xdr:col>
      <xdr:colOff>219074</xdr:colOff>
      <xdr:row>21</xdr:row>
      <xdr:rowOff>180974</xdr:rowOff>
    </xdr:from>
    <xdr:ext cx="44242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DC95B62-05C2-442F-C660-0D0A44D4A625}"/>
                </a:ext>
              </a:extLst>
            </xdr:cNvPr>
            <xdr:cNvSpPr txBox="1"/>
          </xdr:nvSpPr>
          <xdr:spPr>
            <a:xfrm>
              <a:off x="2881312" y="3981449"/>
              <a:ext cx="4424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λ</m:t>
                        </m:r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100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DC95B62-05C2-442F-C660-0D0A44D4A625}"/>
                </a:ext>
              </a:extLst>
            </xdr:cNvPr>
            <xdr:cNvSpPr txBox="1"/>
          </xdr:nvSpPr>
          <xdr:spPr>
            <a:xfrm>
              <a:off x="2881312" y="3981449"/>
              <a:ext cx="4424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P(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λ)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ru-RU" sz="11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workbookViewId="0">
      <selection activeCell="O10" sqref="O10:Q10"/>
    </sheetView>
  </sheetViews>
  <sheetFormatPr defaultRowHeight="14.25" x14ac:dyDescent="0.45"/>
  <cols>
    <col min="1" max="16384" width="9.06640625" style="1"/>
  </cols>
  <sheetData>
    <row r="1" spans="1:18" ht="14.25" customHeight="1" x14ac:dyDescent="0.45">
      <c r="A1" s="9" t="s">
        <v>0</v>
      </c>
      <c r="B1" s="15"/>
      <c r="C1" s="10"/>
      <c r="D1" s="9" t="s">
        <v>3</v>
      </c>
      <c r="E1" s="10"/>
      <c r="F1" s="9" t="s">
        <v>4</v>
      </c>
      <c r="G1" s="10"/>
      <c r="H1" s="34"/>
      <c r="I1" s="35"/>
      <c r="J1" s="36"/>
      <c r="K1" s="4"/>
      <c r="L1" s="5"/>
      <c r="M1" s="35"/>
      <c r="N1" s="36"/>
      <c r="O1" s="22"/>
      <c r="P1" s="22"/>
      <c r="Q1" s="22"/>
      <c r="R1" s="22"/>
    </row>
    <row r="2" spans="1:18" x14ac:dyDescent="0.45">
      <c r="A2" s="11"/>
      <c r="B2" s="16"/>
      <c r="C2" s="12"/>
      <c r="D2" s="11"/>
      <c r="E2" s="12"/>
      <c r="F2" s="11"/>
      <c r="G2" s="12"/>
      <c r="H2" s="37"/>
      <c r="I2" s="38"/>
      <c r="J2" s="39"/>
      <c r="K2" s="6"/>
      <c r="L2" s="7"/>
      <c r="M2" s="41"/>
      <c r="N2" s="42"/>
      <c r="O2" s="22"/>
      <c r="P2" s="22"/>
      <c r="Q2" s="22"/>
      <c r="R2" s="22"/>
    </row>
    <row r="3" spans="1:18" x14ac:dyDescent="0.45">
      <c r="A3" s="13"/>
      <c r="B3" s="17"/>
      <c r="C3" s="14"/>
      <c r="D3" s="13"/>
      <c r="E3" s="14"/>
      <c r="F3" s="13"/>
      <c r="G3" s="14"/>
      <c r="H3" s="40"/>
      <c r="I3" s="41"/>
      <c r="J3" s="42"/>
      <c r="K3" s="31" t="s">
        <v>10</v>
      </c>
      <c r="L3" s="32"/>
      <c r="M3" s="32" t="s">
        <v>9</v>
      </c>
      <c r="N3" s="33"/>
      <c r="O3" s="22"/>
      <c r="P3" s="22"/>
      <c r="Q3" s="22"/>
      <c r="R3" s="22"/>
    </row>
    <row r="4" spans="1:18" x14ac:dyDescent="0.45">
      <c r="A4" s="18" t="s">
        <v>2</v>
      </c>
      <c r="B4" s="18"/>
      <c r="C4" s="18"/>
      <c r="D4" s="19">
        <v>1</v>
      </c>
      <c r="E4" s="19"/>
      <c r="F4" s="19">
        <v>2</v>
      </c>
      <c r="G4" s="19"/>
      <c r="H4" s="19">
        <v>3</v>
      </c>
      <c r="I4" s="19"/>
      <c r="J4" s="19"/>
      <c r="K4" s="19">
        <v>4</v>
      </c>
      <c r="L4" s="19"/>
      <c r="M4" s="19"/>
      <c r="N4" s="19"/>
      <c r="O4" s="22">
        <v>5</v>
      </c>
      <c r="P4" s="22"/>
      <c r="Q4" s="22"/>
      <c r="R4" s="22"/>
    </row>
    <row r="5" spans="1:18" x14ac:dyDescent="0.45">
      <c r="A5" s="1">
        <v>30</v>
      </c>
      <c r="B5" s="1" t="s">
        <v>1</v>
      </c>
      <c r="C5" s="1">
        <v>40</v>
      </c>
      <c r="D5" s="21">
        <v>2</v>
      </c>
      <c r="E5" s="21"/>
      <c r="F5" s="21">
        <f>A5+(C5-A5)/2</f>
        <v>35</v>
      </c>
      <c r="G5" s="21"/>
      <c r="H5" s="26">
        <f>(F5-$B$21)/$B$22</f>
        <v>-2.0994260166621275</v>
      </c>
      <c r="I5" s="26"/>
      <c r="J5" s="26"/>
      <c r="K5" s="29">
        <f>EXP(-(H5^2/2))/SQRT(2*PI())</f>
        <v>4.4036636978759279E-2</v>
      </c>
      <c r="L5" s="29"/>
      <c r="M5" s="29">
        <v>4.3999999999999997E-2</v>
      </c>
      <c r="N5" s="29"/>
      <c r="O5" s="28">
        <f>(K5*$D$19*10)/$B$22</f>
        <v>1.6046966935972569</v>
      </c>
      <c r="P5" s="28"/>
      <c r="Q5" s="28"/>
      <c r="R5" s="1">
        <v>2</v>
      </c>
    </row>
    <row r="6" spans="1:18" x14ac:dyDescent="0.45">
      <c r="A6" s="1">
        <v>40</v>
      </c>
      <c r="B6" s="1" t="s">
        <v>1</v>
      </c>
      <c r="C6" s="1">
        <v>50</v>
      </c>
      <c r="D6" s="21">
        <v>4</v>
      </c>
      <c r="E6" s="21"/>
      <c r="F6" s="21">
        <f t="shared" ref="F6:F18" si="0">A6+(C6-A6)/2</f>
        <v>45</v>
      </c>
      <c r="G6" s="21"/>
      <c r="H6" s="26">
        <f t="shared" ref="H6:H18" si="1">(F6-$B$21)/$B$22</f>
        <v>-1.7620182639842858</v>
      </c>
      <c r="I6" s="26"/>
      <c r="J6" s="26"/>
      <c r="K6" s="30">
        <f t="shared" ref="K6:K18" si="2">EXP(-(H6^2/2))/SQRT(2*PI())</f>
        <v>8.4475585571748862E-2</v>
      </c>
      <c r="L6" s="30"/>
      <c r="M6" s="30">
        <v>8.48E-2</v>
      </c>
      <c r="N6" s="30"/>
      <c r="O6" s="28">
        <f>(K6*$D$19*10)/$B$22</f>
        <v>3.0782934882621191</v>
      </c>
      <c r="P6" s="28"/>
      <c r="Q6" s="28"/>
      <c r="R6" s="1">
        <v>3</v>
      </c>
    </row>
    <row r="7" spans="1:18" x14ac:dyDescent="0.45">
      <c r="A7" s="1">
        <v>50</v>
      </c>
      <c r="B7" s="1" t="s">
        <v>1</v>
      </c>
      <c r="C7" s="1">
        <v>60</v>
      </c>
      <c r="D7" s="21">
        <v>6</v>
      </c>
      <c r="E7" s="21"/>
      <c r="F7" s="21">
        <f t="shared" si="0"/>
        <v>55</v>
      </c>
      <c r="G7" s="21"/>
      <c r="H7" s="26">
        <f t="shared" si="1"/>
        <v>-1.4246105113064438</v>
      </c>
      <c r="I7" s="26"/>
      <c r="J7" s="26"/>
      <c r="K7" s="30">
        <f t="shared" si="2"/>
        <v>0.14461270823637315</v>
      </c>
      <c r="L7" s="30"/>
      <c r="M7" s="30">
        <v>0.14560000000000001</v>
      </c>
      <c r="N7" s="30"/>
      <c r="O7" s="28">
        <f t="shared" ref="O7:O18" si="3">(K7*$D$19*10)/$B$22</f>
        <v>5.269692480626639</v>
      </c>
      <c r="P7" s="28"/>
      <c r="Q7" s="28"/>
      <c r="R7" s="1">
        <v>5</v>
      </c>
    </row>
    <row r="8" spans="1:18" x14ac:dyDescent="0.45">
      <c r="A8" s="1">
        <v>60</v>
      </c>
      <c r="B8" s="1" t="s">
        <v>1</v>
      </c>
      <c r="C8" s="1">
        <v>70</v>
      </c>
      <c r="D8" s="21">
        <v>8</v>
      </c>
      <c r="E8" s="21"/>
      <c r="F8" s="21">
        <f t="shared" si="0"/>
        <v>65</v>
      </c>
      <c r="G8" s="21"/>
      <c r="H8" s="26">
        <f t="shared" si="1"/>
        <v>-1.0872027586286019</v>
      </c>
      <c r="I8" s="26"/>
      <c r="J8" s="26"/>
      <c r="K8" s="30">
        <f t="shared" si="2"/>
        <v>0.22092247024396991</v>
      </c>
      <c r="L8" s="30"/>
      <c r="M8" s="30">
        <v>0.2203</v>
      </c>
      <c r="N8" s="30"/>
      <c r="O8" s="28">
        <f t="shared" si="3"/>
        <v>8.0504230537139723</v>
      </c>
      <c r="P8" s="28"/>
      <c r="Q8" s="28"/>
      <c r="R8" s="1">
        <v>8</v>
      </c>
    </row>
    <row r="9" spans="1:18" x14ac:dyDescent="0.45">
      <c r="A9" s="1">
        <v>70</v>
      </c>
      <c r="B9" s="1" t="s">
        <v>1</v>
      </c>
      <c r="C9" s="1">
        <v>80</v>
      </c>
      <c r="D9" s="21">
        <v>11</v>
      </c>
      <c r="E9" s="21"/>
      <c r="F9" s="21">
        <f t="shared" si="0"/>
        <v>75</v>
      </c>
      <c r="G9" s="21"/>
      <c r="H9" s="26">
        <f t="shared" si="1"/>
        <v>-0.74979500595075999</v>
      </c>
      <c r="I9" s="26"/>
      <c r="J9" s="26"/>
      <c r="K9" s="30">
        <f t="shared" si="2"/>
        <v>0.30118372792202408</v>
      </c>
      <c r="L9" s="30"/>
      <c r="M9" s="30">
        <v>0.31109999999999999</v>
      </c>
      <c r="N9" s="30"/>
      <c r="O9" s="28">
        <f t="shared" si="3"/>
        <v>10.975146276380912</v>
      </c>
      <c r="P9" s="28"/>
      <c r="Q9" s="28"/>
      <c r="R9" s="1">
        <v>11</v>
      </c>
    </row>
    <row r="10" spans="1:18" x14ac:dyDescent="0.45">
      <c r="A10" s="1">
        <v>80</v>
      </c>
      <c r="B10" s="1" t="s">
        <v>1</v>
      </c>
      <c r="C10" s="1">
        <v>90</v>
      </c>
      <c r="D10" s="21">
        <v>14</v>
      </c>
      <c r="E10" s="21"/>
      <c r="F10" s="21">
        <f t="shared" si="0"/>
        <v>85</v>
      </c>
      <c r="G10" s="21"/>
      <c r="H10" s="26">
        <f t="shared" si="1"/>
        <v>-0.41238725327291809</v>
      </c>
      <c r="I10" s="26"/>
      <c r="J10" s="26"/>
      <c r="K10" s="30">
        <f t="shared" si="2"/>
        <v>0.36642179765483796</v>
      </c>
      <c r="L10" s="30"/>
      <c r="M10" s="30">
        <v>0.36680000000000001</v>
      </c>
      <c r="N10" s="30"/>
      <c r="O10" s="28">
        <f t="shared" si="3"/>
        <v>13.352423970120531</v>
      </c>
      <c r="P10" s="28"/>
      <c r="Q10" s="28"/>
      <c r="R10" s="1">
        <v>13</v>
      </c>
    </row>
    <row r="11" spans="1:18" x14ac:dyDescent="0.45">
      <c r="A11" s="1">
        <v>90</v>
      </c>
      <c r="B11" s="1" t="s">
        <v>1</v>
      </c>
      <c r="C11" s="1">
        <v>100</v>
      </c>
      <c r="D11" s="21">
        <v>15</v>
      </c>
      <c r="E11" s="21"/>
      <c r="F11" s="21">
        <f t="shared" si="0"/>
        <v>95</v>
      </c>
      <c r="G11" s="21"/>
      <c r="H11" s="26">
        <f t="shared" si="1"/>
        <v>-7.4979500595076187E-2</v>
      </c>
      <c r="I11" s="26"/>
      <c r="J11" s="26"/>
      <c r="K11" s="30">
        <f t="shared" si="2"/>
        <v>0.39782244315769077</v>
      </c>
      <c r="L11" s="30"/>
      <c r="M11" s="30">
        <v>0.39800000000000002</v>
      </c>
      <c r="N11" s="30"/>
      <c r="O11" s="28">
        <f t="shared" si="3"/>
        <v>14.496664663149653</v>
      </c>
      <c r="P11" s="28"/>
      <c r="Q11" s="28"/>
      <c r="R11" s="1">
        <v>14</v>
      </c>
    </row>
    <row r="12" spans="1:18" x14ac:dyDescent="0.45">
      <c r="A12" s="1">
        <v>100</v>
      </c>
      <c r="B12" s="2" t="s">
        <v>1</v>
      </c>
      <c r="C12" s="1">
        <v>110</v>
      </c>
      <c r="D12" s="21">
        <v>13</v>
      </c>
      <c r="E12" s="21"/>
      <c r="F12" s="21">
        <f t="shared" si="0"/>
        <v>105</v>
      </c>
      <c r="G12" s="21"/>
      <c r="H12" s="26">
        <f t="shared" si="1"/>
        <v>0.26242825208276571</v>
      </c>
      <c r="I12" s="26"/>
      <c r="J12" s="26"/>
      <c r="K12" s="30">
        <f t="shared" si="2"/>
        <v>0.38543881021226778</v>
      </c>
      <c r="L12" s="30"/>
      <c r="M12" s="30">
        <v>0.38569999999999999</v>
      </c>
      <c r="N12" s="30"/>
      <c r="O12" s="28">
        <f t="shared" si="3"/>
        <v>14.045404616842591</v>
      </c>
      <c r="P12" s="28"/>
      <c r="Q12" s="28"/>
      <c r="R12" s="1">
        <v>14</v>
      </c>
    </row>
    <row r="13" spans="1:18" x14ac:dyDescent="0.45">
      <c r="A13" s="1">
        <v>110</v>
      </c>
      <c r="B13" s="1" t="s">
        <v>1</v>
      </c>
      <c r="C13" s="1">
        <v>120</v>
      </c>
      <c r="D13" s="21">
        <v>11</v>
      </c>
      <c r="E13" s="21"/>
      <c r="F13" s="21">
        <f t="shared" si="0"/>
        <v>115</v>
      </c>
      <c r="G13" s="21"/>
      <c r="H13" s="26">
        <f t="shared" si="1"/>
        <v>0.59983600476060761</v>
      </c>
      <c r="I13" s="26"/>
      <c r="J13" s="26"/>
      <c r="K13" s="30">
        <f t="shared" si="2"/>
        <v>0.3332573883727209</v>
      </c>
      <c r="L13" s="30"/>
      <c r="M13" s="30">
        <v>0.3332</v>
      </c>
      <c r="N13" s="30"/>
      <c r="O13" s="28">
        <f t="shared" si="3"/>
        <v>12.143911659205664</v>
      </c>
      <c r="P13" s="28"/>
      <c r="Q13" s="28"/>
      <c r="R13" s="1">
        <v>12</v>
      </c>
    </row>
    <row r="14" spans="1:18" x14ac:dyDescent="0.45">
      <c r="A14" s="1">
        <v>120</v>
      </c>
      <c r="B14" s="1" t="s">
        <v>1</v>
      </c>
      <c r="C14" s="1">
        <v>130</v>
      </c>
      <c r="D14" s="21">
        <v>8</v>
      </c>
      <c r="E14" s="21"/>
      <c r="F14" s="21">
        <f t="shared" si="0"/>
        <v>125</v>
      </c>
      <c r="G14" s="21"/>
      <c r="H14" s="26">
        <f t="shared" si="1"/>
        <v>0.93724375743844957</v>
      </c>
      <c r="I14" s="26"/>
      <c r="J14" s="26"/>
      <c r="K14" s="30">
        <f t="shared" si="2"/>
        <v>0.25713566252004139</v>
      </c>
      <c r="L14" s="30"/>
      <c r="M14" s="30">
        <v>0.25650000000000001</v>
      </c>
      <c r="N14" s="30"/>
      <c r="O14" s="28">
        <f t="shared" si="3"/>
        <v>9.3700331306152354</v>
      </c>
      <c r="P14" s="28"/>
      <c r="Q14" s="28"/>
      <c r="R14" s="1">
        <v>9</v>
      </c>
    </row>
    <row r="15" spans="1:18" x14ac:dyDescent="0.45">
      <c r="A15" s="1">
        <v>130</v>
      </c>
      <c r="B15" s="1" t="s">
        <v>1</v>
      </c>
      <c r="C15" s="1">
        <v>140</v>
      </c>
      <c r="D15" s="21">
        <v>6</v>
      </c>
      <c r="E15" s="21"/>
      <c r="F15" s="21">
        <f t="shared" si="0"/>
        <v>135</v>
      </c>
      <c r="G15" s="21"/>
      <c r="H15" s="26">
        <f t="shared" si="1"/>
        <v>1.2746515101162914</v>
      </c>
      <c r="I15" s="26"/>
      <c r="J15" s="26"/>
      <c r="K15" s="30">
        <f t="shared" si="2"/>
        <v>0.17705289144463157</v>
      </c>
      <c r="L15" s="30"/>
      <c r="M15" s="30">
        <v>0.17810000000000001</v>
      </c>
      <c r="N15" s="30"/>
      <c r="O15" s="28">
        <f t="shared" si="3"/>
        <v>6.4518139664042797</v>
      </c>
      <c r="P15" s="28"/>
      <c r="Q15" s="28"/>
      <c r="R15" s="1">
        <v>6</v>
      </c>
    </row>
    <row r="16" spans="1:18" x14ac:dyDescent="0.45">
      <c r="A16" s="1">
        <v>140</v>
      </c>
      <c r="B16" s="1" t="s">
        <v>1</v>
      </c>
      <c r="C16" s="1">
        <v>150</v>
      </c>
      <c r="D16" s="21">
        <v>5</v>
      </c>
      <c r="E16" s="21"/>
      <c r="F16" s="21">
        <f t="shared" si="0"/>
        <v>145</v>
      </c>
      <c r="G16" s="21"/>
      <c r="H16" s="26">
        <f t="shared" si="1"/>
        <v>1.6120592627941335</v>
      </c>
      <c r="I16" s="26"/>
      <c r="J16" s="26"/>
      <c r="K16" s="30">
        <f t="shared" si="2"/>
        <v>0.10879324133366101</v>
      </c>
      <c r="L16" s="30"/>
      <c r="M16" s="30">
        <v>0.10920000000000001</v>
      </c>
      <c r="N16" s="30"/>
      <c r="O16" s="28">
        <f t="shared" si="3"/>
        <v>3.9644297710122962</v>
      </c>
      <c r="P16" s="28"/>
      <c r="Q16" s="28"/>
      <c r="R16" s="1">
        <v>4</v>
      </c>
    </row>
    <row r="17" spans="1:18" x14ac:dyDescent="0.45">
      <c r="A17" s="1">
        <v>150</v>
      </c>
      <c r="B17" s="1" t="s">
        <v>1</v>
      </c>
      <c r="C17" s="1">
        <v>160</v>
      </c>
      <c r="D17" s="21">
        <v>3</v>
      </c>
      <c r="E17" s="21"/>
      <c r="F17" s="21">
        <f t="shared" si="0"/>
        <v>155</v>
      </c>
      <c r="G17" s="21"/>
      <c r="H17" s="26">
        <f t="shared" si="1"/>
        <v>1.9494670154719753</v>
      </c>
      <c r="I17" s="26"/>
      <c r="J17" s="26"/>
      <c r="K17" s="30">
        <f t="shared" si="2"/>
        <v>5.9656667752993796E-2</v>
      </c>
      <c r="L17" s="30"/>
      <c r="M17" s="30">
        <v>5.96E-2</v>
      </c>
      <c r="N17" s="30"/>
      <c r="O17" s="28">
        <f t="shared" si="3"/>
        <v>2.1738911974689223</v>
      </c>
      <c r="P17" s="28"/>
      <c r="Q17" s="28"/>
      <c r="R17" s="1">
        <v>2</v>
      </c>
    </row>
    <row r="18" spans="1:18" x14ac:dyDescent="0.45">
      <c r="A18" s="1">
        <v>160</v>
      </c>
      <c r="B18" s="1" t="s">
        <v>1</v>
      </c>
      <c r="C18" s="1">
        <v>170</v>
      </c>
      <c r="D18" s="21">
        <v>2</v>
      </c>
      <c r="E18" s="21"/>
      <c r="F18" s="21">
        <f t="shared" si="0"/>
        <v>165</v>
      </c>
      <c r="G18" s="21"/>
      <c r="H18" s="26">
        <f t="shared" si="1"/>
        <v>2.2868747681498172</v>
      </c>
      <c r="I18" s="26"/>
      <c r="J18" s="26"/>
      <c r="K18" s="43">
        <f t="shared" si="2"/>
        <v>2.9192698982876655E-2</v>
      </c>
      <c r="L18" s="43"/>
      <c r="M18" s="43">
        <v>2.9000000000000001E-2</v>
      </c>
      <c r="N18" s="43"/>
      <c r="O18" s="28">
        <f t="shared" si="3"/>
        <v>1.0637830395086183</v>
      </c>
      <c r="P18" s="28"/>
      <c r="Q18" s="28"/>
      <c r="R18" s="1">
        <v>1</v>
      </c>
    </row>
    <row r="19" spans="1:18" x14ac:dyDescent="0.45">
      <c r="A19" s="20" t="s">
        <v>5</v>
      </c>
      <c r="B19" s="20"/>
      <c r="C19" s="20"/>
      <c r="D19" s="22">
        <f>SUM(D5:E18)</f>
        <v>108</v>
      </c>
      <c r="E19" s="22"/>
      <c r="F19" s="22" t="s">
        <v>1</v>
      </c>
      <c r="G19" s="22"/>
      <c r="H19" s="23" t="s">
        <v>1</v>
      </c>
      <c r="I19" s="24"/>
      <c r="J19" s="25"/>
      <c r="K19" s="23" t="s">
        <v>1</v>
      </c>
      <c r="L19" s="24"/>
      <c r="M19" s="24"/>
      <c r="N19" s="25"/>
      <c r="O19" s="27">
        <f>SUM(O5:Q18)</f>
        <v>106.0406080069087</v>
      </c>
      <c r="P19" s="22"/>
      <c r="Q19" s="22"/>
      <c r="R19" s="3">
        <f>SUM(R5:R18)</f>
        <v>104</v>
      </c>
    </row>
    <row r="21" spans="1:18" x14ac:dyDescent="0.45">
      <c r="A21" s="3" t="s">
        <v>7</v>
      </c>
      <c r="B21" s="8">
        <f>SUM(D5*F5,D6*F6,D7*F7,D8*F8,D9*F9,D10*F10,D11*F11,D12*F12,D13*F13,D14*F14,D15*F15,D16*F16,D17*F17,D18*F18)/SUM(D5:E18)</f>
        <v>97.222222222222229</v>
      </c>
      <c r="E21" s="22" t="s">
        <v>8</v>
      </c>
      <c r="F21" s="22"/>
    </row>
    <row r="22" spans="1:18" x14ac:dyDescent="0.45">
      <c r="A22" s="3" t="s">
        <v>6</v>
      </c>
      <c r="B22" s="8">
        <f>SQRT(SUM(E22:E35)/SUM(D5:E18))</f>
        <v>29.6377303741092</v>
      </c>
      <c r="E22" s="21">
        <f t="shared" ref="E22:E35" si="4">(F5-$B$21)^2*D5</f>
        <v>7743.2098765432111</v>
      </c>
      <c r="F22" s="21"/>
    </row>
    <row r="23" spans="1:18" x14ac:dyDescent="0.45">
      <c r="E23" s="21">
        <f t="shared" si="4"/>
        <v>10908.641975308645</v>
      </c>
      <c r="F23" s="21"/>
    </row>
    <row r="24" spans="1:18" x14ac:dyDescent="0.45">
      <c r="E24" s="21">
        <f t="shared" si="4"/>
        <v>10696.296296296299</v>
      </c>
      <c r="F24" s="21"/>
    </row>
    <row r="25" spans="1:18" x14ac:dyDescent="0.45">
      <c r="E25" s="21">
        <f t="shared" si="4"/>
        <v>8306.1728395061764</v>
      </c>
      <c r="F25" s="21"/>
    </row>
    <row r="26" spans="1:18" x14ac:dyDescent="0.45">
      <c r="E26" s="21">
        <f t="shared" si="4"/>
        <v>5432.0987654321016</v>
      </c>
      <c r="F26" s="21"/>
    </row>
    <row r="27" spans="1:18" x14ac:dyDescent="0.45">
      <c r="E27" s="21">
        <f t="shared" si="4"/>
        <v>2091.3580246913602</v>
      </c>
      <c r="F27" s="21"/>
    </row>
    <row r="28" spans="1:18" x14ac:dyDescent="0.45">
      <c r="E28" s="21">
        <f t="shared" si="4"/>
        <v>74.074074074074503</v>
      </c>
      <c r="F28" s="21"/>
    </row>
    <row r="29" spans="1:18" x14ac:dyDescent="0.45">
      <c r="E29" s="21">
        <f t="shared" si="4"/>
        <v>786.4197530864185</v>
      </c>
      <c r="F29" s="21"/>
    </row>
    <row r="30" spans="1:18" x14ac:dyDescent="0.45">
      <c r="E30" s="21">
        <f t="shared" si="4"/>
        <v>3476.5432098765405</v>
      </c>
      <c r="F30" s="21"/>
    </row>
    <row r="31" spans="1:18" x14ac:dyDescent="0.45">
      <c r="E31" s="21">
        <f t="shared" si="4"/>
        <v>6172.839506172837</v>
      </c>
      <c r="F31" s="21"/>
    </row>
    <row r="32" spans="1:18" x14ac:dyDescent="0.45">
      <c r="E32" s="21">
        <f t="shared" si="4"/>
        <v>8562.9629629629599</v>
      </c>
      <c r="F32" s="21"/>
    </row>
    <row r="33" spans="5:6" x14ac:dyDescent="0.45">
      <c r="E33" s="21">
        <f t="shared" si="4"/>
        <v>11413.580246913578</v>
      </c>
      <c r="F33" s="21"/>
    </row>
    <row r="34" spans="5:6" x14ac:dyDescent="0.45">
      <c r="E34" s="21">
        <f t="shared" si="4"/>
        <v>10014.814814814812</v>
      </c>
      <c r="F34" s="21"/>
    </row>
    <row r="35" spans="5:6" x14ac:dyDescent="0.45">
      <c r="E35" s="21">
        <f t="shared" si="4"/>
        <v>9187.6543209876527</v>
      </c>
      <c r="F35" s="21"/>
    </row>
  </sheetData>
  <mergeCells count="119">
    <mergeCell ref="O1:R3"/>
    <mergeCell ref="O4:R4"/>
    <mergeCell ref="M8:N8"/>
    <mergeCell ref="M9:N9"/>
    <mergeCell ref="M10:N10"/>
    <mergeCell ref="M11:N11"/>
    <mergeCell ref="M12:N12"/>
    <mergeCell ref="M13:N13"/>
    <mergeCell ref="O16:Q16"/>
    <mergeCell ref="K3:L3"/>
    <mergeCell ref="M3:N3"/>
    <mergeCell ref="H1:J3"/>
    <mergeCell ref="M5:N5"/>
    <mergeCell ref="K14:L14"/>
    <mergeCell ref="K15:L15"/>
    <mergeCell ref="K16:L16"/>
    <mergeCell ref="K17:L17"/>
    <mergeCell ref="K18:L18"/>
    <mergeCell ref="M1:N2"/>
    <mergeCell ref="M6:N6"/>
    <mergeCell ref="M7:N7"/>
    <mergeCell ref="H16:J16"/>
    <mergeCell ref="H17:J17"/>
    <mergeCell ref="H18:J18"/>
    <mergeCell ref="H5:J5"/>
    <mergeCell ref="H6:J6"/>
    <mergeCell ref="H7:J7"/>
    <mergeCell ref="H8:J8"/>
    <mergeCell ref="H9:J9"/>
    <mergeCell ref="M14:N14"/>
    <mergeCell ref="M15:N15"/>
    <mergeCell ref="M16:N16"/>
    <mergeCell ref="M17:N17"/>
    <mergeCell ref="K19:N19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M18:N18"/>
    <mergeCell ref="O19:Q19"/>
    <mergeCell ref="O10:Q10"/>
    <mergeCell ref="O11:Q11"/>
    <mergeCell ref="O12:Q12"/>
    <mergeCell ref="O13:Q13"/>
    <mergeCell ref="O14:Q14"/>
    <mergeCell ref="O15:Q15"/>
    <mergeCell ref="O5:Q5"/>
    <mergeCell ref="O6:Q6"/>
    <mergeCell ref="O7:Q7"/>
    <mergeCell ref="O8:Q8"/>
    <mergeCell ref="O9:Q9"/>
    <mergeCell ref="O17:Q17"/>
    <mergeCell ref="O18:Q18"/>
    <mergeCell ref="E35:F35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22:F22"/>
    <mergeCell ref="H19:J19"/>
    <mergeCell ref="H10:J10"/>
    <mergeCell ref="H11:J11"/>
    <mergeCell ref="H12:J12"/>
    <mergeCell ref="H13:J13"/>
    <mergeCell ref="H14:J14"/>
    <mergeCell ref="H15:J15"/>
    <mergeCell ref="F15:G15"/>
    <mergeCell ref="F16:G16"/>
    <mergeCell ref="F17:G17"/>
    <mergeCell ref="F18:G18"/>
    <mergeCell ref="F19:G19"/>
    <mergeCell ref="D18:E18"/>
    <mergeCell ref="D19:E19"/>
    <mergeCell ref="F11:G11"/>
    <mergeCell ref="F12:G12"/>
    <mergeCell ref="F13:G13"/>
    <mergeCell ref="F14:G14"/>
    <mergeCell ref="D15:E15"/>
    <mergeCell ref="D16:E16"/>
    <mergeCell ref="D17:E17"/>
    <mergeCell ref="D14:E14"/>
    <mergeCell ref="E21:F21"/>
    <mergeCell ref="F1:G3"/>
    <mergeCell ref="D1:E3"/>
    <mergeCell ref="A1:C3"/>
    <mergeCell ref="A4:C4"/>
    <mergeCell ref="D4:E4"/>
    <mergeCell ref="F4:G4"/>
    <mergeCell ref="H4:J4"/>
    <mergeCell ref="K4:N4"/>
    <mergeCell ref="A19:C19"/>
    <mergeCell ref="D5:E5"/>
    <mergeCell ref="D6:E6"/>
    <mergeCell ref="D7:E7"/>
    <mergeCell ref="D8:E8"/>
    <mergeCell ref="F5:G5"/>
    <mergeCell ref="F6:G6"/>
    <mergeCell ref="F7:G7"/>
    <mergeCell ref="F8:G8"/>
    <mergeCell ref="D9:E9"/>
    <mergeCell ref="D10:E10"/>
    <mergeCell ref="D11:E11"/>
    <mergeCell ref="D12:E12"/>
    <mergeCell ref="D13:E13"/>
    <mergeCell ref="F9:G9"/>
    <mergeCell ref="F10:G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16F4-BF64-4F5F-B375-371747B61015}">
  <dimension ref="A1:M23"/>
  <sheetViews>
    <sheetView tabSelected="1" workbookViewId="0">
      <selection activeCell="J25" sqref="J25"/>
    </sheetView>
  </sheetViews>
  <sheetFormatPr defaultRowHeight="14.25" x14ac:dyDescent="0.45"/>
  <cols>
    <col min="4" max="4" width="10.06640625" customWidth="1"/>
    <col min="5" max="5" width="10.59765625" customWidth="1"/>
    <col min="6" max="6" width="9.19921875" bestFit="1" customWidth="1"/>
  </cols>
  <sheetData>
    <row r="1" spans="1:13" ht="14.25" customHeight="1" x14ac:dyDescent="0.45">
      <c r="A1" s="15" t="s">
        <v>0</v>
      </c>
      <c r="B1" s="15"/>
      <c r="C1" s="15"/>
      <c r="D1" s="44" t="s">
        <v>11</v>
      </c>
      <c r="E1" s="44"/>
      <c r="F1" s="44" t="s">
        <v>14</v>
      </c>
      <c r="G1" s="44"/>
      <c r="H1" s="44" t="s">
        <v>15</v>
      </c>
      <c r="I1" s="44"/>
      <c r="J1" s="44" t="s">
        <v>17</v>
      </c>
      <c r="K1" s="44"/>
      <c r="L1" s="22"/>
      <c r="M1" s="22"/>
    </row>
    <row r="2" spans="1:13" x14ac:dyDescent="0.45">
      <c r="A2" s="16"/>
      <c r="B2" s="16"/>
      <c r="C2" s="16"/>
      <c r="D2" s="44"/>
      <c r="E2" s="44"/>
      <c r="F2" s="44"/>
      <c r="G2" s="44"/>
      <c r="H2" s="44"/>
      <c r="I2" s="44"/>
      <c r="J2" s="44"/>
      <c r="K2" s="44"/>
      <c r="L2" s="22"/>
      <c r="M2" s="22"/>
    </row>
    <row r="3" spans="1:13" x14ac:dyDescent="0.45">
      <c r="A3" s="16"/>
      <c r="B3" s="16"/>
      <c r="C3" s="16"/>
      <c r="D3" s="44"/>
      <c r="E3" s="44"/>
      <c r="F3" s="44"/>
      <c r="G3" s="44"/>
      <c r="H3" s="44"/>
      <c r="I3" s="44"/>
      <c r="J3" s="44"/>
      <c r="K3" s="44"/>
      <c r="L3" s="22"/>
      <c r="M3" s="22"/>
    </row>
    <row r="4" spans="1:13" x14ac:dyDescent="0.45">
      <c r="A4" s="50"/>
      <c r="B4" s="50"/>
      <c r="C4" s="50"/>
      <c r="D4" s="19" t="s">
        <v>12</v>
      </c>
      <c r="E4" s="19"/>
      <c r="F4" s="48" t="s">
        <v>13</v>
      </c>
      <c r="G4" s="48"/>
      <c r="H4" s="48" t="s">
        <v>16</v>
      </c>
      <c r="I4" s="48"/>
      <c r="J4" s="48" t="s">
        <v>18</v>
      </c>
      <c r="K4" s="48"/>
      <c r="L4" s="22"/>
      <c r="M4" s="22"/>
    </row>
    <row r="5" spans="1:13" x14ac:dyDescent="0.45">
      <c r="A5" s="1">
        <v>30</v>
      </c>
      <c r="B5" s="1" t="s">
        <v>1</v>
      </c>
      <c r="C5" s="1">
        <v>40</v>
      </c>
      <c r="D5" s="21">
        <v>2</v>
      </c>
      <c r="E5" s="21"/>
      <c r="F5" s="45">
        <v>2</v>
      </c>
      <c r="G5" s="45"/>
      <c r="H5" s="45">
        <f>SUM($D$5:D5)</f>
        <v>2</v>
      </c>
      <c r="I5" s="46"/>
      <c r="J5" s="45">
        <f>SUM($F$5:F5)</f>
        <v>2</v>
      </c>
      <c r="K5" s="46"/>
      <c r="L5" s="21">
        <f>ABS(H5-J5)</f>
        <v>0</v>
      </c>
      <c r="M5" s="21"/>
    </row>
    <row r="6" spans="1:13" x14ac:dyDescent="0.45">
      <c r="A6" s="1">
        <v>40</v>
      </c>
      <c r="B6" s="1" t="s">
        <v>1</v>
      </c>
      <c r="C6" s="1">
        <v>50</v>
      </c>
      <c r="D6" s="21">
        <v>4</v>
      </c>
      <c r="E6" s="21"/>
      <c r="F6" s="45">
        <v>3</v>
      </c>
      <c r="G6" s="45"/>
      <c r="H6" s="45">
        <f>SUM($D$5:D6)</f>
        <v>6</v>
      </c>
      <c r="I6" s="46"/>
      <c r="J6" s="45">
        <f>SUM($F$5:F6)</f>
        <v>5</v>
      </c>
      <c r="K6" s="46"/>
      <c r="L6" s="21">
        <f t="shared" ref="L6:L18" si="0">ABS(H6-J6)</f>
        <v>1</v>
      </c>
      <c r="M6" s="21"/>
    </row>
    <row r="7" spans="1:13" x14ac:dyDescent="0.45">
      <c r="A7" s="1">
        <v>50</v>
      </c>
      <c r="B7" s="1" t="s">
        <v>1</v>
      </c>
      <c r="C7" s="1">
        <v>60</v>
      </c>
      <c r="D7" s="21">
        <v>6</v>
      </c>
      <c r="E7" s="21"/>
      <c r="F7" s="45">
        <v>5</v>
      </c>
      <c r="G7" s="45"/>
      <c r="H7" s="45">
        <f>SUM($D$5:D7)</f>
        <v>12</v>
      </c>
      <c r="I7" s="46"/>
      <c r="J7" s="45">
        <f>SUM($F$5:F7)</f>
        <v>10</v>
      </c>
      <c r="K7" s="46"/>
      <c r="L7" s="21">
        <f t="shared" si="0"/>
        <v>2</v>
      </c>
      <c r="M7" s="21"/>
    </row>
    <row r="8" spans="1:13" x14ac:dyDescent="0.45">
      <c r="A8" s="1">
        <v>60</v>
      </c>
      <c r="B8" s="1" t="s">
        <v>1</v>
      </c>
      <c r="C8" s="1">
        <v>70</v>
      </c>
      <c r="D8" s="21">
        <v>8</v>
      </c>
      <c r="E8" s="21"/>
      <c r="F8" s="45">
        <v>8</v>
      </c>
      <c r="G8" s="45"/>
      <c r="H8" s="45">
        <f>SUM($D$5:D8)</f>
        <v>20</v>
      </c>
      <c r="I8" s="46"/>
      <c r="J8" s="45">
        <f>SUM($F$5:F8)</f>
        <v>18</v>
      </c>
      <c r="K8" s="46"/>
      <c r="L8" s="21">
        <f t="shared" si="0"/>
        <v>2</v>
      </c>
      <c r="M8" s="21"/>
    </row>
    <row r="9" spans="1:13" x14ac:dyDescent="0.45">
      <c r="A9" s="1">
        <v>70</v>
      </c>
      <c r="B9" s="1" t="s">
        <v>1</v>
      </c>
      <c r="C9" s="1">
        <v>80</v>
      </c>
      <c r="D9" s="21">
        <v>11</v>
      </c>
      <c r="E9" s="21"/>
      <c r="F9" s="45">
        <v>11</v>
      </c>
      <c r="G9" s="45"/>
      <c r="H9" s="45">
        <f>SUM($D$5:D9)</f>
        <v>31</v>
      </c>
      <c r="I9" s="46"/>
      <c r="J9" s="45">
        <f>SUM($F$5:F9)</f>
        <v>29</v>
      </c>
      <c r="K9" s="46"/>
      <c r="L9" s="21">
        <f t="shared" si="0"/>
        <v>2</v>
      </c>
      <c r="M9" s="21"/>
    </row>
    <row r="10" spans="1:13" x14ac:dyDescent="0.45">
      <c r="A10" s="1">
        <v>80</v>
      </c>
      <c r="B10" s="1" t="s">
        <v>1</v>
      </c>
      <c r="C10" s="1">
        <v>90</v>
      </c>
      <c r="D10" s="21">
        <v>14</v>
      </c>
      <c r="E10" s="21"/>
      <c r="F10" s="45">
        <v>13</v>
      </c>
      <c r="G10" s="45"/>
      <c r="H10" s="45">
        <f>SUM($D$5:D10)</f>
        <v>45</v>
      </c>
      <c r="I10" s="46"/>
      <c r="J10" s="45">
        <f>SUM($F$5:F10)</f>
        <v>42</v>
      </c>
      <c r="K10" s="46"/>
      <c r="L10" s="21">
        <f t="shared" si="0"/>
        <v>3</v>
      </c>
      <c r="M10" s="21"/>
    </row>
    <row r="11" spans="1:13" x14ac:dyDescent="0.45">
      <c r="A11" s="1">
        <v>90</v>
      </c>
      <c r="B11" s="1" t="s">
        <v>1</v>
      </c>
      <c r="C11" s="1">
        <v>100</v>
      </c>
      <c r="D11" s="21">
        <v>15</v>
      </c>
      <c r="E11" s="21"/>
      <c r="F11" s="45">
        <v>14</v>
      </c>
      <c r="G11" s="45"/>
      <c r="H11" s="45">
        <f>SUM($D$5:D11)</f>
        <v>60</v>
      </c>
      <c r="I11" s="46"/>
      <c r="J11" s="45">
        <f>SUM($F$5:F11)</f>
        <v>56</v>
      </c>
      <c r="K11" s="46"/>
      <c r="L11" s="21">
        <f t="shared" si="0"/>
        <v>4</v>
      </c>
      <c r="M11" s="21"/>
    </row>
    <row r="12" spans="1:13" x14ac:dyDescent="0.45">
      <c r="A12" s="1">
        <v>100</v>
      </c>
      <c r="B12" s="2" t="s">
        <v>1</v>
      </c>
      <c r="C12" s="1">
        <v>110</v>
      </c>
      <c r="D12" s="21">
        <v>13</v>
      </c>
      <c r="E12" s="21"/>
      <c r="F12" s="45">
        <v>14</v>
      </c>
      <c r="G12" s="45"/>
      <c r="H12" s="45">
        <f>SUM($D$5:D12)</f>
        <v>73</v>
      </c>
      <c r="I12" s="46"/>
      <c r="J12" s="45">
        <f>SUM($F$5:F12)</f>
        <v>70</v>
      </c>
      <c r="K12" s="46"/>
      <c r="L12" s="21">
        <f t="shared" si="0"/>
        <v>3</v>
      </c>
      <c r="M12" s="21"/>
    </row>
    <row r="13" spans="1:13" x14ac:dyDescent="0.45">
      <c r="A13" s="1">
        <v>110</v>
      </c>
      <c r="B13" s="1" t="s">
        <v>1</v>
      </c>
      <c r="C13" s="1">
        <v>120</v>
      </c>
      <c r="D13" s="21">
        <v>11</v>
      </c>
      <c r="E13" s="21"/>
      <c r="F13" s="45">
        <v>12</v>
      </c>
      <c r="G13" s="45"/>
      <c r="H13" s="45">
        <f>SUM($D$5:D13)</f>
        <v>84</v>
      </c>
      <c r="I13" s="46"/>
      <c r="J13" s="45">
        <f>SUM($F$5:F13)</f>
        <v>82</v>
      </c>
      <c r="K13" s="46"/>
      <c r="L13" s="21">
        <f t="shared" si="0"/>
        <v>2</v>
      </c>
      <c r="M13" s="21"/>
    </row>
    <row r="14" spans="1:13" x14ac:dyDescent="0.45">
      <c r="A14" s="1">
        <v>120</v>
      </c>
      <c r="B14" s="1" t="s">
        <v>1</v>
      </c>
      <c r="C14" s="1">
        <v>130</v>
      </c>
      <c r="D14" s="21">
        <v>8</v>
      </c>
      <c r="E14" s="21"/>
      <c r="F14" s="45">
        <v>9</v>
      </c>
      <c r="G14" s="45"/>
      <c r="H14" s="45">
        <f>SUM($D$5:D14)</f>
        <v>92</v>
      </c>
      <c r="I14" s="46"/>
      <c r="J14" s="45">
        <f>SUM($F$5:F14)</f>
        <v>91</v>
      </c>
      <c r="K14" s="46"/>
      <c r="L14" s="21">
        <f t="shared" si="0"/>
        <v>1</v>
      </c>
      <c r="M14" s="21"/>
    </row>
    <row r="15" spans="1:13" x14ac:dyDescent="0.45">
      <c r="A15" s="1">
        <v>130</v>
      </c>
      <c r="B15" s="1" t="s">
        <v>1</v>
      </c>
      <c r="C15" s="1">
        <v>140</v>
      </c>
      <c r="D15" s="21">
        <v>6</v>
      </c>
      <c r="E15" s="21"/>
      <c r="F15" s="45">
        <v>6</v>
      </c>
      <c r="G15" s="45"/>
      <c r="H15" s="45">
        <f>SUM($D$5:D15)</f>
        <v>98</v>
      </c>
      <c r="I15" s="46"/>
      <c r="J15" s="45">
        <f>SUM($F$5:F15)</f>
        <v>97</v>
      </c>
      <c r="K15" s="46"/>
      <c r="L15" s="21">
        <f t="shared" si="0"/>
        <v>1</v>
      </c>
      <c r="M15" s="21"/>
    </row>
    <row r="16" spans="1:13" x14ac:dyDescent="0.45">
      <c r="A16" s="1">
        <v>140</v>
      </c>
      <c r="B16" s="1" t="s">
        <v>1</v>
      </c>
      <c r="C16" s="1">
        <v>150</v>
      </c>
      <c r="D16" s="21">
        <v>5</v>
      </c>
      <c r="E16" s="21"/>
      <c r="F16" s="45">
        <v>4</v>
      </c>
      <c r="G16" s="45"/>
      <c r="H16" s="45">
        <f>SUM($D$5:D16)</f>
        <v>103</v>
      </c>
      <c r="I16" s="46"/>
      <c r="J16" s="45">
        <f>SUM($F$5:F16)</f>
        <v>101</v>
      </c>
      <c r="K16" s="46"/>
      <c r="L16" s="21">
        <f t="shared" si="0"/>
        <v>2</v>
      </c>
      <c r="M16" s="21"/>
    </row>
    <row r="17" spans="1:13" x14ac:dyDescent="0.45">
      <c r="A17" s="1">
        <v>150</v>
      </c>
      <c r="B17" s="1" t="s">
        <v>1</v>
      </c>
      <c r="C17" s="1">
        <v>160</v>
      </c>
      <c r="D17" s="21">
        <v>3</v>
      </c>
      <c r="E17" s="21"/>
      <c r="F17" s="45">
        <v>2</v>
      </c>
      <c r="G17" s="45"/>
      <c r="H17" s="45">
        <f>SUM($D$5:D17)</f>
        <v>106</v>
      </c>
      <c r="I17" s="46"/>
      <c r="J17" s="45">
        <f>SUM($F$5:F17)</f>
        <v>103</v>
      </c>
      <c r="K17" s="46"/>
      <c r="L17" s="21">
        <f t="shared" si="0"/>
        <v>3</v>
      </c>
      <c r="M17" s="21"/>
    </row>
    <row r="18" spans="1:13" x14ac:dyDescent="0.45">
      <c r="A18" s="1">
        <v>160</v>
      </c>
      <c r="B18" s="1" t="s">
        <v>1</v>
      </c>
      <c r="C18" s="1">
        <v>170</v>
      </c>
      <c r="D18" s="21">
        <v>2</v>
      </c>
      <c r="E18" s="21"/>
      <c r="F18" s="45">
        <v>1</v>
      </c>
      <c r="G18" s="45"/>
      <c r="H18" s="45">
        <f>SUM($D$5:D18)</f>
        <v>108</v>
      </c>
      <c r="I18" s="46"/>
      <c r="J18" s="45">
        <f>SUM($F$5:F18)</f>
        <v>104</v>
      </c>
      <c r="K18" s="46"/>
      <c r="L18" s="21">
        <f t="shared" si="0"/>
        <v>4</v>
      </c>
      <c r="M18" s="21"/>
    </row>
    <row r="19" spans="1:13" x14ac:dyDescent="0.45">
      <c r="A19" s="20" t="s">
        <v>5</v>
      </c>
      <c r="B19" s="20"/>
      <c r="C19" s="20"/>
      <c r="D19" s="22">
        <f>SUM(D5:E18)</f>
        <v>108</v>
      </c>
      <c r="E19" s="22"/>
      <c r="F19" s="47">
        <f>SUM(F5:G18)</f>
        <v>104</v>
      </c>
      <c r="G19" s="47"/>
      <c r="H19" s="49" t="s">
        <v>1</v>
      </c>
      <c r="I19" s="49"/>
      <c r="J19" s="49" t="s">
        <v>1</v>
      </c>
      <c r="K19" s="49"/>
      <c r="L19" s="22" t="s">
        <v>1</v>
      </c>
      <c r="M19" s="22"/>
    </row>
    <row r="22" spans="1:13" x14ac:dyDescent="0.45">
      <c r="A22" t="s">
        <v>19</v>
      </c>
      <c r="B22">
        <v>4</v>
      </c>
    </row>
    <row r="23" spans="1:13" x14ac:dyDescent="0.45">
      <c r="B23">
        <f>B22/SQRT(D19)</f>
        <v>0.38490017945975052</v>
      </c>
      <c r="C23" s="51" t="s">
        <v>20</v>
      </c>
      <c r="D23" s="21"/>
      <c r="F23">
        <v>0.99719999999999998</v>
      </c>
      <c r="G23" s="51" t="s">
        <v>20</v>
      </c>
      <c r="H23" s="21"/>
      <c r="I23" t="s">
        <v>21</v>
      </c>
    </row>
  </sheetData>
  <mergeCells count="88">
    <mergeCell ref="L1:M4"/>
    <mergeCell ref="J15:K15"/>
    <mergeCell ref="A1:C4"/>
    <mergeCell ref="C23:D23"/>
    <mergeCell ref="G23:H23"/>
    <mergeCell ref="L14:M14"/>
    <mergeCell ref="L15:M15"/>
    <mergeCell ref="L16:M16"/>
    <mergeCell ref="L17:M17"/>
    <mergeCell ref="L18:M18"/>
    <mergeCell ref="L19:M19"/>
    <mergeCell ref="L8:M8"/>
    <mergeCell ref="L9:M9"/>
    <mergeCell ref="L10:M10"/>
    <mergeCell ref="L11:M11"/>
    <mergeCell ref="L12:M12"/>
    <mergeCell ref="L13:M13"/>
    <mergeCell ref="J13:K13"/>
    <mergeCell ref="L5:M5"/>
    <mergeCell ref="L6:M6"/>
    <mergeCell ref="L7:M7"/>
    <mergeCell ref="J14:K14"/>
    <mergeCell ref="J8:K8"/>
    <mergeCell ref="J9:K9"/>
    <mergeCell ref="J10:K10"/>
    <mergeCell ref="J11:K11"/>
    <mergeCell ref="J12:K12"/>
    <mergeCell ref="H19:I19"/>
    <mergeCell ref="J16:K16"/>
    <mergeCell ref="J17:K17"/>
    <mergeCell ref="J18:K18"/>
    <mergeCell ref="J19:K19"/>
    <mergeCell ref="J1:K3"/>
    <mergeCell ref="J4:K4"/>
    <mergeCell ref="J5:K5"/>
    <mergeCell ref="J6:K6"/>
    <mergeCell ref="J7:K7"/>
    <mergeCell ref="F18:G18"/>
    <mergeCell ref="H8:I8"/>
    <mergeCell ref="H9:I9"/>
    <mergeCell ref="H10:I10"/>
    <mergeCell ref="H11:I11"/>
    <mergeCell ref="H12:I12"/>
    <mergeCell ref="H15:I15"/>
    <mergeCell ref="H16:I16"/>
    <mergeCell ref="H17:I17"/>
    <mergeCell ref="H18:I18"/>
    <mergeCell ref="F19:G19"/>
    <mergeCell ref="H1:I3"/>
    <mergeCell ref="H4:I4"/>
    <mergeCell ref="H5:I5"/>
    <mergeCell ref="H6:I6"/>
    <mergeCell ref="H7:I7"/>
    <mergeCell ref="F8:G8"/>
    <mergeCell ref="F9:G9"/>
    <mergeCell ref="F10:G10"/>
    <mergeCell ref="F11:G11"/>
    <mergeCell ref="F12:G12"/>
    <mergeCell ref="F13:G13"/>
    <mergeCell ref="F1:G3"/>
    <mergeCell ref="F4:G4"/>
    <mergeCell ref="F5:G5"/>
    <mergeCell ref="F6:G6"/>
    <mergeCell ref="F7:G7"/>
    <mergeCell ref="F14:G14"/>
    <mergeCell ref="H14:I14"/>
    <mergeCell ref="D16:E16"/>
    <mergeCell ref="D17:E17"/>
    <mergeCell ref="H13:I13"/>
    <mergeCell ref="F15:G15"/>
    <mergeCell ref="F16:G16"/>
    <mergeCell ref="F17:G17"/>
    <mergeCell ref="A19:C19"/>
    <mergeCell ref="D1:E3"/>
    <mergeCell ref="D4:E4"/>
    <mergeCell ref="D5:E5"/>
    <mergeCell ref="D6:E6"/>
    <mergeCell ref="D7:E7"/>
    <mergeCell ref="D8:E8"/>
    <mergeCell ref="D9:E9"/>
    <mergeCell ref="D18:E18"/>
    <mergeCell ref="D19:E19"/>
    <mergeCell ref="D10:E10"/>
    <mergeCell ref="D11:E11"/>
    <mergeCell ref="D12:E12"/>
    <mergeCell ref="D13:E13"/>
    <mergeCell ref="D14:E14"/>
    <mergeCell ref="D15:E15"/>
  </mergeCells>
  <pageMargins left="0.7" right="0.7" top="0.75" bottom="0.75" header="0.3" footer="0.3"/>
  <ignoredErrors>
    <ignoredError sqref="J6:K17 H6:I17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Задание1</vt:lpstr>
      <vt:lpstr>Задание2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 Кочеткова</cp:lastModifiedBy>
  <dcterms:created xsi:type="dcterms:W3CDTF">2015-06-05T18:19:34Z</dcterms:created>
  <dcterms:modified xsi:type="dcterms:W3CDTF">2023-12-19T00:58:19Z</dcterms:modified>
</cp:coreProperties>
</file>
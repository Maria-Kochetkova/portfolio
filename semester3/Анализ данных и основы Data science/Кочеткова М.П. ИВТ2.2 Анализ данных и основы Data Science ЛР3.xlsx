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Мария\Desktop\ад\"/>
    </mc:Choice>
  </mc:AlternateContent>
  <xr:revisionPtr revIDLastSave="0" documentId="13_ncr:1_{5B5CA38C-8A1E-4BA9-BA70-DE866FA71BAC}" xr6:coauthVersionLast="47" xr6:coauthVersionMax="47" xr10:uidLastSave="{00000000-0000-0000-0000-000000000000}"/>
  <bookViews>
    <workbookView xWindow="-98" yWindow="-98" windowWidth="19095" windowHeight="12075" activeTab="1" xr2:uid="{00000000-000D-0000-FFFF-FFFF00000000}"/>
  </bookViews>
  <sheets>
    <sheet name="Задание1" sheetId="1" r:id="rId1"/>
    <sheet name="зд к Заданию1" sheetId="4" r:id="rId2"/>
    <sheet name="Лист1" sheetId="5" r:id="rId3"/>
    <sheet name="Таблица1" sheetId="2" r:id="rId4"/>
    <sheet name="Таблица2" sheetId="3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4" l="1"/>
  <c r="G36" i="4"/>
  <c r="B41" i="4"/>
  <c r="G41" i="4"/>
  <c r="B12" i="4"/>
  <c r="O19" i="4"/>
  <c r="F32" i="3"/>
  <c r="C32" i="3"/>
  <c r="J21" i="4"/>
  <c r="J20" i="4"/>
  <c r="J19" i="4"/>
  <c r="H20" i="4"/>
  <c r="H19" i="4"/>
  <c r="B20" i="4" a="1"/>
  <c r="B28" i="4" s="1"/>
  <c r="C28" i="4" s="1"/>
  <c r="E3" i="3"/>
  <c r="E4" i="3"/>
  <c r="E5" i="3"/>
  <c r="E6" i="3"/>
  <c r="E7" i="3"/>
  <c r="E2" i="3"/>
  <c r="B24" i="4" l="1"/>
  <c r="C24" i="4" s="1"/>
  <c r="B27" i="4"/>
  <c r="C27" i="4" s="1"/>
  <c r="B26" i="4"/>
  <c r="C26" i="4" s="1"/>
  <c r="B25" i="4"/>
  <c r="C25" i="4" s="1"/>
  <c r="B23" i="4"/>
  <c r="C23" i="4" s="1"/>
  <c r="B22" i="4"/>
  <c r="C22" i="4" s="1"/>
  <c r="B21" i="4"/>
  <c r="C21" i="4" s="1"/>
  <c r="B20" i="4"/>
  <c r="C20" i="4" s="1"/>
  <c r="O20" i="4" s="1"/>
  <c r="B30" i="4"/>
  <c r="C30" i="4" s="1"/>
  <c r="B29" i="4"/>
  <c r="C29" i="4" s="1"/>
  <c r="I3" i="2"/>
  <c r="I2" i="2"/>
  <c r="I4" i="2"/>
  <c r="I5" i="2"/>
  <c r="I6" i="2"/>
  <c r="I7" i="2"/>
  <c r="H3" i="2"/>
  <c r="H4" i="2"/>
  <c r="H5" i="2"/>
  <c r="H6" i="2"/>
  <c r="H7" i="2"/>
  <c r="H2" i="2"/>
  <c r="L12" i="4"/>
  <c r="L8" i="4"/>
  <c r="L7" i="4"/>
  <c r="L15" i="4" s="1"/>
  <c r="B31" i="4" l="1"/>
  <c r="F12" i="3"/>
  <c r="B8" i="4"/>
  <c r="E8" i="4" s="1"/>
  <c r="B7" i="4"/>
  <c r="F13" i="3"/>
  <c r="E10" i="3"/>
  <c r="E9" i="3"/>
  <c r="V7" i="1"/>
  <c r="Q7" i="1"/>
  <c r="K7" i="1"/>
  <c r="B10" i="1" a="1"/>
  <c r="B11" i="1" s="1"/>
  <c r="M18" i="1" s="1"/>
  <c r="B6" i="1"/>
  <c r="B7" i="1"/>
  <c r="B15" i="4" l="1"/>
  <c r="F8" i="4" s="1"/>
  <c r="E9" i="4" s="1"/>
  <c r="F9" i="4" s="1"/>
  <c r="J13" i="1"/>
  <c r="J14" i="1"/>
  <c r="J23" i="1"/>
  <c r="P22" i="1"/>
  <c r="B12" i="1"/>
  <c r="B10" i="1"/>
  <c r="B20" i="1"/>
  <c r="B19" i="1"/>
  <c r="B18" i="1"/>
  <c r="B17" i="1"/>
  <c r="B16" i="1"/>
  <c r="B15" i="1"/>
  <c r="B14" i="1"/>
  <c r="B13" i="1"/>
  <c r="M20" i="1" l="1"/>
  <c r="P24" i="1"/>
  <c r="M21" i="1"/>
  <c r="P25" i="1"/>
  <c r="M22" i="1"/>
  <c r="P26" i="1"/>
  <c r="J18" i="1"/>
  <c r="P27" i="1"/>
  <c r="M23" i="1"/>
  <c r="M24" i="1"/>
  <c r="P28" i="1"/>
  <c r="P29" i="1"/>
  <c r="M25" i="1"/>
  <c r="P30" i="1"/>
  <c r="M26" i="1"/>
  <c r="P31" i="1"/>
  <c r="M27" i="1"/>
  <c r="M17" i="1"/>
  <c r="B21" i="1"/>
  <c r="H22" i="1" s="1"/>
  <c r="P21" i="1"/>
  <c r="M19" i="1"/>
  <c r="P23" i="1"/>
  <c r="J15" i="1"/>
  <c r="L11" i="1" s="1"/>
  <c r="P11" i="1" s="1"/>
  <c r="V11" i="1" s="1"/>
  <c r="J16" i="1"/>
  <c r="J17" i="1"/>
  <c r="J19" i="1"/>
  <c r="J20" i="1"/>
  <c r="J21" i="1"/>
  <c r="J22" i="1"/>
  <c r="E10" i="4"/>
  <c r="F10" i="4" s="1"/>
  <c r="E11" i="4" s="1"/>
  <c r="F11" i="4" s="1"/>
  <c r="E12" i="4" s="1"/>
  <c r="F12" i="4" s="1"/>
  <c r="E13" i="4" s="1"/>
  <c r="F13" i="4" s="1"/>
  <c r="G8" i="4" l="1" a="1"/>
  <c r="S21" i="1"/>
  <c r="R19" i="1" s="1"/>
  <c r="S15" i="1"/>
  <c r="O15" i="1" s="1"/>
  <c r="G11" i="4" l="1"/>
  <c r="G13" i="4"/>
  <c r="G10" i="4"/>
  <c r="G9" i="4"/>
  <c r="G8" i="4"/>
  <c r="G12" i="4"/>
</calcChain>
</file>

<file path=xl/sharedStrings.xml><?xml version="1.0" encoding="utf-8"?>
<sst xmlns="http://schemas.openxmlformats.org/spreadsheetml/2006/main" count="95" uniqueCount="72">
  <si>
    <t>1) Построить вариационный ряд</t>
  </si>
  <si>
    <t>2) Провести анализпостоенного вр</t>
  </si>
  <si>
    <t>min</t>
  </si>
  <si>
    <t>max</t>
  </si>
  <si>
    <t>n</t>
  </si>
  <si>
    <t>∆</t>
  </si>
  <si>
    <t>1. Характеристики положения (средняя арифметическая, мода, медиана).</t>
  </si>
  <si>
    <t>Me</t>
  </si>
  <si>
    <t>Mo</t>
  </si>
  <si>
    <t xml:space="preserve"> </t>
  </si>
  <si>
    <t>xi</t>
  </si>
  <si>
    <t xml:space="preserve">СУММ </t>
  </si>
  <si>
    <t>xi*mi</t>
  </si>
  <si>
    <t>2. Характеристики рассеяния (дисперсия, среднее квадратическое отклонение, коэффициент вариации).</t>
  </si>
  <si>
    <t xml:space="preserve">&lt;- </t>
  </si>
  <si>
    <t xml:space="preserve">медиана, при </t>
  </si>
  <si>
    <t>дисперсия</t>
  </si>
  <si>
    <t>ср кв откл</t>
  </si>
  <si>
    <t>коэф вар</t>
  </si>
  <si>
    <t>4. Характеристики островершенности (эксцесс).</t>
  </si>
  <si>
    <t>эксцесс</t>
  </si>
  <si>
    <t>M4</t>
  </si>
  <si>
    <t>M3</t>
  </si>
  <si>
    <t>Доля покупателей(wi)</t>
  </si>
  <si>
    <t>Число поупателей (mi)</t>
  </si>
  <si>
    <t>Интервалы расходов</t>
  </si>
  <si>
    <t>100 - 300</t>
  </si>
  <si>
    <t>500 - 700</t>
  </si>
  <si>
    <t>700 - 900</t>
  </si>
  <si>
    <t>900 - 1100</t>
  </si>
  <si>
    <t>1100 - 1300</t>
  </si>
  <si>
    <t>Границы интервалов</t>
  </si>
  <si>
    <t>верх</t>
  </si>
  <si>
    <t>низ</t>
  </si>
  <si>
    <t>Интервалы</t>
  </si>
  <si>
    <t>Число регионов</t>
  </si>
  <si>
    <t>до 60</t>
  </si>
  <si>
    <t>Свыше 100</t>
  </si>
  <si>
    <t>-</t>
  </si>
  <si>
    <t>Начало первого интервала =</t>
  </si>
  <si>
    <t xml:space="preserve"> i = </t>
  </si>
  <si>
    <t>70 - 60 =</t>
  </si>
  <si>
    <t>x_max - i =</t>
  </si>
  <si>
    <t>Правая граница последнего интервала =</t>
  </si>
  <si>
    <t>x_min + i =</t>
  </si>
  <si>
    <t>100 - 90 =</t>
  </si>
  <si>
    <t>k</t>
  </si>
  <si>
    <t>mi</t>
  </si>
  <si>
    <t>L</t>
  </si>
  <si>
    <t>формула Cтерджесса</t>
  </si>
  <si>
    <t>Накопленные частоты (ν) в восходящем порядке</t>
  </si>
  <si>
    <t>Накопленные частоты (ν) в нисходящем порядке</t>
  </si>
  <si>
    <t>сумма</t>
  </si>
  <si>
    <t>кол-во покупателей с расходами большими, чем нижняя граница соответствующего интервала</t>
  </si>
  <si>
    <t>кол-во покупателей с расходами меньшими, чем верхняя граница соответствующего интервала</t>
  </si>
  <si>
    <t>Накопленная частота</t>
  </si>
  <si>
    <t>25-й персентиль</t>
  </si>
  <si>
    <t>50-й персентиль</t>
  </si>
  <si>
    <t>90-й персентиль</t>
  </si>
  <si>
    <t>60-70</t>
  </si>
  <si>
    <t>Me интервал</t>
  </si>
  <si>
    <t>Mo интервал</t>
  </si>
  <si>
    <t>ср арефм</t>
  </si>
  <si>
    <t>ср арефм взвеш</t>
  </si>
  <si>
    <r>
      <t>ср ар x</t>
    </r>
    <r>
      <rPr>
        <b/>
        <sz val="11"/>
        <color rgb="FF3F3F3F"/>
        <rFont val="Calibri"/>
        <family val="2"/>
        <charset val="204"/>
      </rPr>
      <t>̅</t>
    </r>
  </si>
  <si>
    <t>3. Характеристики меры скошенности (коэффициент асимметрии).</t>
  </si>
  <si>
    <t>коэф асимметрии</t>
  </si>
  <si>
    <t>70-80</t>
  </si>
  <si>
    <t>80-90</t>
  </si>
  <si>
    <t>90-100</t>
  </si>
  <si>
    <t>300 - 500</t>
  </si>
  <si>
    <t>ср 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</si>
</sst>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3F3F3F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1" applyNumberFormat="0" applyAlignment="0" applyProtection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4" fillId="3" borderId="1" xfId="2" applyAlignment="1">
      <alignment horizontal="center" vertical="center"/>
    </xf>
    <xf numFmtId="0" fontId="4" fillId="3" borderId="1" xfId="2" applyAlignment="1">
      <alignment vertical="center"/>
    </xf>
    <xf numFmtId="9" fontId="4" fillId="3" borderId="1" xfId="2" applyNumberFormat="1" applyAlignment="1">
      <alignment horizontal="center" vertical="center"/>
    </xf>
    <xf numFmtId="0" fontId="4" fillId="3" borderId="1" xfId="2" applyAlignment="1">
      <alignment horizontal="center" vertical="center" wrapText="1"/>
    </xf>
    <xf numFmtId="0" fontId="4" fillId="3" borderId="1" xfId="2" applyAlignment="1">
      <alignment horizontal="center" wrapText="1"/>
    </xf>
    <xf numFmtId="0" fontId="4" fillId="3" borderId="1" xfId="2" applyAlignment="1">
      <alignment horizontal="right" vertical="center"/>
    </xf>
    <xf numFmtId="0" fontId="4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1" applyAlignment="1">
      <alignment horizontal="center" vertical="center"/>
    </xf>
    <xf numFmtId="0" fontId="2" fillId="2" borderId="0" xfId="1" applyFont="1" applyAlignment="1">
      <alignment horizontal="center" vertical="center"/>
    </xf>
    <xf numFmtId="0" fontId="1" fillId="2" borderId="0" xfId="1" applyFont="1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4" fillId="3" borderId="1" xfId="2" applyAlignment="1">
      <alignment horizontal="right" vertical="center"/>
    </xf>
  </cellXfs>
  <cellStyles count="3">
    <cellStyle name="20% — акцент2" xfId="1" builtinId="34"/>
    <cellStyle name="Вывод" xfId="2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Задание1!$A$10:$A$20</c:f>
              <c:numCache>
                <c:formatCode>General</c:formatCode>
                <c:ptCount val="11"/>
                <c:pt idx="0">
                  <c:v>9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27</c:v>
                </c:pt>
              </c:numCache>
            </c:numRef>
          </c:cat>
          <c:val>
            <c:numRef>
              <c:f>Задание1!$B$10:$B$20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58D-4DDD-87EE-5266C8775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210831"/>
        <c:axId val="1373626127"/>
      </c:lineChart>
      <c:catAx>
        <c:axId val="117721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>
            <a:softEdge rad="6350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3626127"/>
        <c:crosses val="autoZero"/>
        <c:auto val="1"/>
        <c:lblAlgn val="ctr"/>
        <c:lblOffset val="100"/>
        <c:noMultiLvlLbl val="0"/>
      </c:catAx>
      <c:valAx>
        <c:axId val="137362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7210831"/>
        <c:crosses val="autoZero"/>
        <c:crossBetween val="between"/>
      </c:valAx>
      <c:spPr>
        <a:noFill/>
        <a:ln>
          <a:solidFill>
            <a:schemeClr val="bg2">
              <a:lumMod val="9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Гистограмма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Таблица2!$A$2:$A$7</c:f>
              <c:strCache>
                <c:ptCount val="6"/>
                <c:pt idx="0">
                  <c:v>до 60</c:v>
                </c:pt>
                <c:pt idx="1">
                  <c:v>60-70</c:v>
                </c:pt>
                <c:pt idx="2">
                  <c:v>70-80</c:v>
                </c:pt>
                <c:pt idx="3">
                  <c:v>80-90</c:v>
                </c:pt>
                <c:pt idx="4">
                  <c:v>90-100</c:v>
                </c:pt>
                <c:pt idx="5">
                  <c:v>Свыше 100</c:v>
                </c:pt>
              </c:strCache>
            </c:strRef>
          </c:cat>
          <c:val>
            <c:numRef>
              <c:f>Таблица2!$B$2:$B$7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47FC-4B5E-936E-7F1E7E813DB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Таблица2!$A$2:$A$7</c:f>
              <c:strCache>
                <c:ptCount val="6"/>
                <c:pt idx="0">
                  <c:v>до 60</c:v>
                </c:pt>
                <c:pt idx="1">
                  <c:v>60-70</c:v>
                </c:pt>
                <c:pt idx="2">
                  <c:v>70-80</c:v>
                </c:pt>
                <c:pt idx="3">
                  <c:v>80-90</c:v>
                </c:pt>
                <c:pt idx="4">
                  <c:v>90-100</c:v>
                </c:pt>
                <c:pt idx="5">
                  <c:v>Свыше 100</c:v>
                </c:pt>
              </c:strCache>
            </c:strRef>
          </c:cat>
          <c:val>
            <c:numRef>
              <c:f>Таблица2!$C$2:$C$7</c:f>
              <c:numCache>
                <c:formatCode>General</c:formatCode>
                <c:ptCount val="6"/>
                <c:pt idx="0">
                  <c:v>10</c:v>
                </c:pt>
                <c:pt idx="1">
                  <c:v>29</c:v>
                </c:pt>
                <c:pt idx="2">
                  <c:v>2</c:v>
                </c:pt>
                <c:pt idx="3">
                  <c:v>13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FC-4B5E-936E-7F1E7E813DB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Таблица2!$A$2:$A$7</c:f>
              <c:strCache>
                <c:ptCount val="6"/>
                <c:pt idx="0">
                  <c:v>до 60</c:v>
                </c:pt>
                <c:pt idx="1">
                  <c:v>60-70</c:v>
                </c:pt>
                <c:pt idx="2">
                  <c:v>70-80</c:v>
                </c:pt>
                <c:pt idx="3">
                  <c:v>80-90</c:v>
                </c:pt>
                <c:pt idx="4">
                  <c:v>90-100</c:v>
                </c:pt>
                <c:pt idx="5">
                  <c:v>Свыше 100</c:v>
                </c:pt>
              </c:strCache>
            </c:strRef>
          </c:cat>
          <c:val>
            <c:numRef>
              <c:f>Таблица2!$D$2:$D$7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47FC-4B5E-936E-7F1E7E813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100"/>
        <c:axId val="1600322607"/>
        <c:axId val="467879999"/>
      </c:barChart>
      <c:catAx>
        <c:axId val="160032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7879999"/>
        <c:crosses val="autoZero"/>
        <c:auto val="1"/>
        <c:lblAlgn val="ctr"/>
        <c:lblOffset val="100"/>
        <c:noMultiLvlLbl val="0"/>
      </c:catAx>
      <c:valAx>
        <c:axId val="46787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032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Кумулянта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171296296296296"/>
          <c:w val="0.90286351706036749"/>
          <c:h val="0.7125462962962961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Таблица2!$F$2:$F$7</c:f>
              <c:numCache>
                <c:formatCode>General</c:formatCode>
                <c:ptCount val="6"/>
                <c:pt idx="0">
                  <c:v>55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95</c:v>
                </c:pt>
                <c:pt idx="5">
                  <c:v>105</c:v>
                </c:pt>
              </c:numCache>
            </c:numRef>
          </c:xVal>
          <c:yVal>
            <c:numRef>
              <c:f>Таблица2!$E$2:$E$7</c:f>
              <c:numCache>
                <c:formatCode>General</c:formatCode>
                <c:ptCount val="6"/>
                <c:pt idx="0">
                  <c:v>10</c:v>
                </c:pt>
                <c:pt idx="1">
                  <c:v>39</c:v>
                </c:pt>
                <c:pt idx="2">
                  <c:v>41</c:v>
                </c:pt>
                <c:pt idx="3">
                  <c:v>54</c:v>
                </c:pt>
                <c:pt idx="4">
                  <c:v>54</c:v>
                </c:pt>
                <c:pt idx="5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F4-4E0D-A15D-3B7D60FC1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132752"/>
        <c:axId val="1719191264"/>
      </c:scatterChart>
      <c:valAx>
        <c:axId val="1722132752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9191264"/>
        <c:crosses val="autoZero"/>
        <c:crossBetween val="midCat"/>
      </c:valAx>
      <c:valAx>
        <c:axId val="171919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213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Огива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171296296296296"/>
          <c:w val="0.90286351706036749"/>
          <c:h val="0.7125462962962961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Таблица2!$E$2:$E$7</c:f>
              <c:numCache>
                <c:formatCode>General</c:formatCode>
                <c:ptCount val="6"/>
                <c:pt idx="0">
                  <c:v>10</c:v>
                </c:pt>
                <c:pt idx="1">
                  <c:v>39</c:v>
                </c:pt>
                <c:pt idx="2">
                  <c:v>41</c:v>
                </c:pt>
                <c:pt idx="3">
                  <c:v>54</c:v>
                </c:pt>
                <c:pt idx="4">
                  <c:v>54</c:v>
                </c:pt>
                <c:pt idx="5">
                  <c:v>60</c:v>
                </c:pt>
              </c:numCache>
            </c:numRef>
          </c:xVal>
          <c:yVal>
            <c:numRef>
              <c:f>Таблица2!$F$2:$F$7</c:f>
              <c:numCache>
                <c:formatCode>General</c:formatCode>
                <c:ptCount val="6"/>
                <c:pt idx="0">
                  <c:v>55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95</c:v>
                </c:pt>
                <c:pt idx="5">
                  <c:v>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99-4446-BE17-D0589F005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132752"/>
        <c:axId val="1719191264"/>
      </c:scatterChart>
      <c:valAx>
        <c:axId val="1722132752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9191264"/>
        <c:crosses val="autoZero"/>
        <c:crossBetween val="midCat"/>
      </c:valAx>
      <c:valAx>
        <c:axId val="171919126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213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31197</xdr:colOff>
      <xdr:row>0</xdr:row>
      <xdr:rowOff>146603</xdr:rowOff>
    </xdr:from>
    <xdr:to>
      <xdr:col>25</xdr:col>
      <xdr:colOff>202646</xdr:colOff>
      <xdr:row>15</xdr:row>
      <xdr:rowOff>175179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745C460-EC00-57DE-9FD5-B766478B9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195263</xdr:colOff>
      <xdr:row>0</xdr:row>
      <xdr:rowOff>0</xdr:rowOff>
    </xdr:from>
    <xdr:to>
      <xdr:col>14</xdr:col>
      <xdr:colOff>30955</xdr:colOff>
      <xdr:row>13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64706B3-1F7A-89AC-0D39-21E6EBC42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177458</xdr:colOff>
      <xdr:row>13</xdr:row>
      <xdr:rowOff>102508</xdr:rowOff>
    </xdr:from>
    <xdr:to>
      <xdr:col>6</xdr:col>
      <xdr:colOff>242091</xdr:colOff>
      <xdr:row>28</xdr:row>
      <xdr:rowOff>124279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1A80709-4195-1EEE-42D6-F55FE332A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90714</xdr:colOff>
      <xdr:row>13</xdr:row>
      <xdr:rowOff>124733</xdr:rowOff>
    </xdr:from>
    <xdr:to>
      <xdr:col>14</xdr:col>
      <xdr:colOff>138339</xdr:colOff>
      <xdr:row>28</xdr:row>
      <xdr:rowOff>146504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98C4052-BFFD-4A5E-99F7-F59651239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workbookViewId="0">
      <selection activeCell="W7" sqref="W7:AC7"/>
    </sheetView>
  </sheetViews>
  <sheetFormatPr defaultColWidth="6.1328125" defaultRowHeight="14.25" x14ac:dyDescent="0.45"/>
  <cols>
    <col min="1" max="9" width="6.1328125" style="2"/>
    <col min="10" max="10" width="6.53125" style="2" bestFit="1" customWidth="1"/>
    <col min="11" max="11" width="6.19921875" style="2" customWidth="1"/>
    <col min="12" max="12" width="7.265625" style="2" customWidth="1"/>
    <col min="13" max="16384" width="6.1328125" style="2"/>
  </cols>
  <sheetData>
    <row r="1" spans="1:24" x14ac:dyDescent="0.45">
      <c r="A1" s="2">
        <v>16</v>
      </c>
      <c r="B1" s="2">
        <v>12</v>
      </c>
      <c r="C1" s="2">
        <v>15</v>
      </c>
      <c r="D1" s="2">
        <v>15</v>
      </c>
      <c r="E1" s="2">
        <v>23</v>
      </c>
      <c r="F1" s="2">
        <v>9</v>
      </c>
      <c r="G1" s="2">
        <v>15</v>
      </c>
      <c r="H1" s="2">
        <v>13</v>
      </c>
      <c r="I1" s="2">
        <v>14</v>
      </c>
      <c r="J1" s="2">
        <v>14</v>
      </c>
      <c r="K1" s="2">
        <v>21</v>
      </c>
      <c r="L1" s="2">
        <v>15</v>
      </c>
      <c r="M1" s="2">
        <v>14</v>
      </c>
    </row>
    <row r="2" spans="1:24" x14ac:dyDescent="0.45">
      <c r="A2" s="2">
        <v>17</v>
      </c>
      <c r="B2" s="2">
        <v>27</v>
      </c>
      <c r="C2" s="2">
        <v>15</v>
      </c>
      <c r="D2" s="2">
        <v>16</v>
      </c>
      <c r="E2" s="2">
        <v>12</v>
      </c>
      <c r="F2" s="2">
        <v>16</v>
      </c>
      <c r="G2" s="2">
        <v>19</v>
      </c>
      <c r="H2" s="2">
        <v>14</v>
      </c>
      <c r="I2" s="2">
        <v>16</v>
      </c>
      <c r="J2" s="2">
        <v>17</v>
      </c>
      <c r="K2" s="2">
        <v>13</v>
      </c>
      <c r="L2" s="2">
        <v>14</v>
      </c>
      <c r="M2" s="2">
        <v>14</v>
      </c>
    </row>
    <row r="4" spans="1:24" x14ac:dyDescent="0.45">
      <c r="A4" s="14" t="s">
        <v>0</v>
      </c>
      <c r="B4" s="14"/>
      <c r="C4" s="14"/>
      <c r="D4" s="14"/>
      <c r="E4" s="14"/>
      <c r="F4" s="14"/>
      <c r="J4" s="14" t="s">
        <v>1</v>
      </c>
      <c r="K4" s="14"/>
      <c r="L4" s="14"/>
      <c r="M4" s="14"/>
      <c r="N4" s="14"/>
      <c r="O4" s="14"/>
    </row>
    <row r="5" spans="1:24" x14ac:dyDescent="0.45">
      <c r="J5" s="15" t="s">
        <v>6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4" x14ac:dyDescent="0.45">
      <c r="A6" s="2" t="s">
        <v>2</v>
      </c>
      <c r="B6" s="2">
        <f>MIN(A1:M2)</f>
        <v>9</v>
      </c>
      <c r="D6" s="2" t="s">
        <v>4</v>
      </c>
      <c r="E6" s="2">
        <v>26</v>
      </c>
    </row>
    <row r="7" spans="1:24" x14ac:dyDescent="0.45">
      <c r="A7" s="2" t="s">
        <v>3</v>
      </c>
      <c r="B7" s="2">
        <f>MAX(A1:M2)</f>
        <v>27</v>
      </c>
      <c r="J7" s="7" t="s">
        <v>64</v>
      </c>
      <c r="K7" s="7">
        <f>AVERAGE(A1:M2)</f>
        <v>15.615384615384615</v>
      </c>
      <c r="P7" s="7" t="s">
        <v>8</v>
      </c>
      <c r="Q7" s="8">
        <f>MODE(A1:M2)</f>
        <v>14</v>
      </c>
      <c r="R7" s="1"/>
      <c r="U7" s="7" t="s">
        <v>7</v>
      </c>
      <c r="V7" s="7">
        <f>MEDIAN(A1:M2)</f>
        <v>15</v>
      </c>
      <c r="W7" s="2" t="s">
        <v>9</v>
      </c>
    </row>
    <row r="9" spans="1:24" x14ac:dyDescent="0.45">
      <c r="A9" s="7" t="s">
        <v>10</v>
      </c>
      <c r="B9" s="7" t="s">
        <v>47</v>
      </c>
      <c r="D9" s="2">
        <v>9</v>
      </c>
      <c r="J9" s="16" t="s">
        <v>13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x14ac:dyDescent="0.45">
      <c r="A10">
        <v>9</v>
      </c>
      <c r="B10">
        <f t="array" ref="B10:B20">FREQUENCY(A1:M2,A10:A20)</f>
        <v>1</v>
      </c>
      <c r="D10" s="2">
        <v>12</v>
      </c>
    </row>
    <row r="11" spans="1:24" x14ac:dyDescent="0.45">
      <c r="A11">
        <v>12</v>
      </c>
      <c r="B11">
        <v>2</v>
      </c>
      <c r="D11" s="2">
        <v>12</v>
      </c>
      <c r="J11" s="13" t="s">
        <v>16</v>
      </c>
      <c r="K11" s="13"/>
      <c r="L11" s="7">
        <f>SUM(J13:J23)/SUM(B10:B20)</f>
        <v>12.698224852071007</v>
      </c>
      <c r="N11" s="13" t="s">
        <v>17</v>
      </c>
      <c r="O11" s="13"/>
      <c r="P11" s="7">
        <f>SQRT(L11)</f>
        <v>3.5634568682770675</v>
      </c>
      <c r="T11" s="13" t="s">
        <v>18</v>
      </c>
      <c r="U11" s="13"/>
      <c r="V11" s="9">
        <f>P11/K7</f>
        <v>0.22820167136749694</v>
      </c>
    </row>
    <row r="12" spans="1:24" x14ac:dyDescent="0.45">
      <c r="A12">
        <v>13</v>
      </c>
      <c r="B12">
        <v>2</v>
      </c>
      <c r="D12" s="2">
        <v>13</v>
      </c>
    </row>
    <row r="13" spans="1:24" x14ac:dyDescent="0.45">
      <c r="A13">
        <v>14</v>
      </c>
      <c r="B13">
        <v>6</v>
      </c>
      <c r="D13" s="2">
        <v>13</v>
      </c>
      <c r="J13" s="2">
        <f>(A10-$K$7)^2*B10</f>
        <v>43.763313609467453</v>
      </c>
      <c r="L13" s="17" t="s">
        <v>65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spans="1:24" x14ac:dyDescent="0.45">
      <c r="A14">
        <v>15</v>
      </c>
      <c r="B14">
        <v>5</v>
      </c>
      <c r="D14" s="2">
        <v>14</v>
      </c>
      <c r="J14" s="2">
        <f>(A11-$K$7)^2*B11</f>
        <v>26.142011834319522</v>
      </c>
    </row>
    <row r="15" spans="1:24" x14ac:dyDescent="0.45">
      <c r="A15">
        <v>16</v>
      </c>
      <c r="B15">
        <v>4</v>
      </c>
      <c r="D15" s="2">
        <v>14</v>
      </c>
      <c r="J15" s="2">
        <f t="shared" ref="J15:J23" si="0">(A12-$K$7)^2*B12</f>
        <v>13.68047337278106</v>
      </c>
      <c r="L15" s="13" t="s">
        <v>66</v>
      </c>
      <c r="M15" s="13"/>
      <c r="N15" s="13"/>
      <c r="O15" s="7">
        <f>S15/P11^3</f>
        <v>1.387540426179616</v>
      </c>
      <c r="R15" s="2" t="s">
        <v>22</v>
      </c>
      <c r="S15" s="2">
        <f>SUM(M17:M27)/E6</f>
        <v>62.785616750113803</v>
      </c>
    </row>
    <row r="16" spans="1:24" x14ac:dyDescent="0.45">
      <c r="A16">
        <v>17</v>
      </c>
      <c r="B16">
        <v>2</v>
      </c>
      <c r="D16" s="2">
        <v>14</v>
      </c>
      <c r="J16" s="2">
        <f t="shared" si="0"/>
        <v>15.656804733727803</v>
      </c>
    </row>
    <row r="17" spans="1:24" x14ac:dyDescent="0.45">
      <c r="A17">
        <v>19</v>
      </c>
      <c r="B17">
        <v>1</v>
      </c>
      <c r="D17" s="2">
        <v>14</v>
      </c>
      <c r="J17" s="2">
        <f t="shared" si="0"/>
        <v>1.8934911242603525</v>
      </c>
      <c r="M17" s="2">
        <f t="shared" ref="M17:M27" si="1">B10*(A10-$K$7)^3</f>
        <v>-289.51115157032314</v>
      </c>
      <c r="O17" s="16" t="s">
        <v>19</v>
      </c>
      <c r="P17" s="15"/>
      <c r="Q17" s="15"/>
      <c r="R17" s="15"/>
      <c r="S17" s="15"/>
      <c r="T17" s="15"/>
      <c r="U17" s="15"/>
      <c r="V17" s="15"/>
      <c r="W17" s="15"/>
      <c r="X17" s="15"/>
    </row>
    <row r="18" spans="1:24" x14ac:dyDescent="0.45">
      <c r="A18">
        <v>21</v>
      </c>
      <c r="B18">
        <v>1</v>
      </c>
      <c r="D18" s="2">
        <v>14</v>
      </c>
      <c r="J18" s="2">
        <f t="shared" si="0"/>
        <v>0.59171597633136219</v>
      </c>
      <c r="M18" s="2">
        <f t="shared" si="1"/>
        <v>-94.513427401001337</v>
      </c>
    </row>
    <row r="19" spans="1:24" x14ac:dyDescent="0.45">
      <c r="A19">
        <v>23</v>
      </c>
      <c r="B19">
        <v>1</v>
      </c>
      <c r="D19" s="2">
        <v>14</v>
      </c>
      <c r="J19" s="2">
        <f t="shared" si="0"/>
        <v>3.8343195266272212</v>
      </c>
      <c r="K19" s="2" t="s">
        <v>9</v>
      </c>
      <c r="M19" s="2">
        <f t="shared" si="1"/>
        <v>-35.779699590350461</v>
      </c>
      <c r="P19" s="13" t="s">
        <v>20</v>
      </c>
      <c r="Q19" s="13"/>
      <c r="R19" s="8">
        <f>S21/P11^4 - 3</f>
        <v>2.5204650451782271</v>
      </c>
    </row>
    <row r="20" spans="1:24" x14ac:dyDescent="0.45">
      <c r="A20">
        <v>27</v>
      </c>
      <c r="B20">
        <v>1</v>
      </c>
      <c r="D20" s="2">
        <v>15</v>
      </c>
      <c r="J20" s="2">
        <f t="shared" si="0"/>
        <v>11.455621301775151</v>
      </c>
      <c r="M20" s="2">
        <f t="shared" si="1"/>
        <v>-25.291761492944907</v>
      </c>
    </row>
    <row r="21" spans="1:24" x14ac:dyDescent="0.45">
      <c r="A21" s="2" t="s">
        <v>11</v>
      </c>
      <c r="B21" s="2">
        <f>SUM(B10:B20)</f>
        <v>26</v>
      </c>
      <c r="D21" s="2">
        <v>15</v>
      </c>
      <c r="J21" s="2">
        <f t="shared" si="0"/>
        <v>28.99408284023669</v>
      </c>
      <c r="M21" s="2">
        <f t="shared" si="1"/>
        <v>-1.1652253072371392</v>
      </c>
      <c r="P21" s="2">
        <f>B10*(A10-$K$7)^4</f>
        <v>1915.2276180805991</v>
      </c>
      <c r="R21" s="2" t="s">
        <v>21</v>
      </c>
      <c r="S21" s="2">
        <f>SUM(P21:P31)/E6</f>
        <v>890.14691362347287</v>
      </c>
    </row>
    <row r="22" spans="1:24" x14ac:dyDescent="0.45">
      <c r="D22" s="2">
        <v>15</v>
      </c>
      <c r="E22" s="2" t="s">
        <v>14</v>
      </c>
      <c r="F22" s="4" t="s">
        <v>15</v>
      </c>
      <c r="H22" s="2">
        <f>(B21+1)/2</f>
        <v>13.5</v>
      </c>
      <c r="J22" s="2">
        <f t="shared" si="0"/>
        <v>54.532544378698233</v>
      </c>
      <c r="M22" s="2">
        <f t="shared" si="1"/>
        <v>0.22758306781975493</v>
      </c>
      <c r="P22" s="2">
        <f t="shared" ref="P22:P31" si="2">B11*(A11-$K$7)^4</f>
        <v>341.70239137285097</v>
      </c>
    </row>
    <row r="23" spans="1:24" x14ac:dyDescent="0.45">
      <c r="D23" s="2">
        <v>15</v>
      </c>
      <c r="J23" s="2">
        <f t="shared" si="0"/>
        <v>129.60946745562131</v>
      </c>
      <c r="M23" s="2">
        <f t="shared" si="1"/>
        <v>5.3090578060992311</v>
      </c>
      <c r="P23" s="2">
        <f t="shared" si="2"/>
        <v>93.577675851685797</v>
      </c>
    </row>
    <row r="24" spans="1:24" x14ac:dyDescent="0.45">
      <c r="M24" s="2">
        <f t="shared" si="1"/>
        <v>38.772872098315901</v>
      </c>
      <c r="P24" s="2">
        <f t="shared" si="2"/>
        <v>40.855922411680226</v>
      </c>
    </row>
    <row r="25" spans="1:24" x14ac:dyDescent="0.45">
      <c r="J25"/>
      <c r="K25"/>
      <c r="L25"/>
      <c r="M25" s="2">
        <f t="shared" si="1"/>
        <v>156.1219845243514</v>
      </c>
      <c r="N25"/>
      <c r="O25"/>
      <c r="P25" s="2">
        <f t="shared" si="2"/>
        <v>0.71706172753054676</v>
      </c>
      <c r="Q25"/>
      <c r="R25"/>
      <c r="S25"/>
      <c r="T25"/>
      <c r="U25"/>
      <c r="V25"/>
      <c r="W25"/>
      <c r="X25"/>
    </row>
    <row r="26" spans="1:24" x14ac:dyDescent="0.45">
      <c r="M26" s="2">
        <f t="shared" si="1"/>
        <v>402.70186618115622</v>
      </c>
      <c r="P26" s="2">
        <f t="shared" si="2"/>
        <v>8.75319491614443E-2</v>
      </c>
    </row>
    <row r="27" spans="1:24" x14ac:dyDescent="0.45">
      <c r="M27" s="2">
        <f t="shared" si="1"/>
        <v>1475.5539371870734</v>
      </c>
      <c r="P27" s="2">
        <f t="shared" si="2"/>
        <v>7.3510031161373988</v>
      </c>
    </row>
    <row r="28" spans="1:24" x14ac:dyDescent="0.45">
      <c r="P28" s="2">
        <f>B17*(A17-$K$7)^4</f>
        <v>131.23125940968461</v>
      </c>
    </row>
    <row r="29" spans="1:24" x14ac:dyDescent="0.45">
      <c r="P29" s="2">
        <f t="shared" si="2"/>
        <v>840.65683974650767</v>
      </c>
    </row>
    <row r="30" spans="1:24" x14ac:dyDescent="0.45">
      <c r="P30" s="2">
        <f t="shared" si="2"/>
        <v>2973.7983964146924</v>
      </c>
    </row>
    <row r="31" spans="1:24" x14ac:dyDescent="0.45">
      <c r="P31" s="2">
        <f t="shared" si="2"/>
        <v>16798.614054129761</v>
      </c>
    </row>
    <row r="35" spans="12:12" ht="13.5" customHeight="1" x14ac:dyDescent="0.45"/>
    <row r="39" spans="12:12" x14ac:dyDescent="0.45">
      <c r="L39" s="2" t="s">
        <v>9</v>
      </c>
    </row>
  </sheetData>
  <sortState xmlns:xlrd2="http://schemas.microsoft.com/office/spreadsheetml/2017/richdata2" ref="R1:R41">
    <sortCondition ref="R1:R41"/>
  </sortState>
  <mergeCells count="11">
    <mergeCell ref="P19:Q19"/>
    <mergeCell ref="A4:F4"/>
    <mergeCell ref="J4:O4"/>
    <mergeCell ref="J5:X5"/>
    <mergeCell ref="J9:X9"/>
    <mergeCell ref="J11:K11"/>
    <mergeCell ref="N11:O11"/>
    <mergeCell ref="T11:U11"/>
    <mergeCell ref="L13:X13"/>
    <mergeCell ref="L15:N15"/>
    <mergeCell ref="O17:X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18C8-53D5-4428-908C-422BAB0F067D}">
  <dimension ref="A1:O45"/>
  <sheetViews>
    <sheetView tabSelected="1" topLeftCell="A25" zoomScale="99" workbookViewId="0">
      <selection activeCell="O45" sqref="O45"/>
    </sheetView>
  </sheetViews>
  <sheetFormatPr defaultColWidth="5.59765625" defaultRowHeight="14.25" x14ac:dyDescent="0.45"/>
  <cols>
    <col min="1" max="1" width="5.796875" style="2" bestFit="1" customWidth="1"/>
    <col min="2" max="2" width="5.73046875" style="2" customWidth="1"/>
    <col min="3" max="6" width="5.59765625" style="2"/>
    <col min="7" max="7" width="6.6640625" style="2" bestFit="1" customWidth="1"/>
    <col min="8" max="8" width="5.59765625" style="2" customWidth="1"/>
    <col min="9" max="12" width="5.59765625" style="2"/>
    <col min="13" max="13" width="5.3984375" style="2" customWidth="1"/>
    <col min="14" max="14" width="9.1328125" style="2" customWidth="1"/>
    <col min="15" max="15" width="15.1328125" style="2" customWidth="1"/>
    <col min="16" max="16384" width="5.59765625" style="2"/>
  </cols>
  <sheetData>
    <row r="1" spans="1:13" x14ac:dyDescent="0.45">
      <c r="A1" s="2">
        <v>16</v>
      </c>
      <c r="B1" s="2">
        <v>12</v>
      </c>
      <c r="C1" s="2">
        <v>15</v>
      </c>
      <c r="D1" s="2">
        <v>15</v>
      </c>
      <c r="E1" s="2">
        <v>23</v>
      </c>
      <c r="F1" s="2">
        <v>9</v>
      </c>
      <c r="G1" s="2">
        <v>15</v>
      </c>
      <c r="H1" s="2">
        <v>13</v>
      </c>
      <c r="I1" s="2">
        <v>14</v>
      </c>
      <c r="J1" s="2">
        <v>14</v>
      </c>
      <c r="K1" s="2">
        <v>21</v>
      </c>
      <c r="L1" s="2">
        <v>15</v>
      </c>
      <c r="M1" s="2">
        <v>14</v>
      </c>
    </row>
    <row r="2" spans="1:13" x14ac:dyDescent="0.45">
      <c r="A2" s="2">
        <v>17</v>
      </c>
      <c r="B2" s="2">
        <v>27</v>
      </c>
      <c r="C2" s="2">
        <v>15</v>
      </c>
      <c r="D2" s="2">
        <v>16</v>
      </c>
      <c r="E2" s="2">
        <v>12</v>
      </c>
      <c r="F2" s="2">
        <v>16</v>
      </c>
      <c r="G2" s="2">
        <v>19</v>
      </c>
      <c r="H2" s="2">
        <v>14</v>
      </c>
      <c r="I2" s="2">
        <v>16</v>
      </c>
      <c r="J2" s="2">
        <v>17</v>
      </c>
      <c r="K2" s="2">
        <v>13</v>
      </c>
      <c r="L2" s="2">
        <v>14</v>
      </c>
      <c r="M2" s="2">
        <v>14</v>
      </c>
    </row>
    <row r="5" spans="1:13" x14ac:dyDescent="0.45">
      <c r="A5" s="14" t="s">
        <v>49</v>
      </c>
      <c r="B5" s="14"/>
      <c r="C5" s="14"/>
      <c r="D5" s="14"/>
      <c r="E5" s="14"/>
      <c r="F5" s="14"/>
      <c r="G5" s="14"/>
    </row>
    <row r="7" spans="1:13" x14ac:dyDescent="0.45">
      <c r="A7" s="2" t="s">
        <v>3</v>
      </c>
      <c r="B7" s="2">
        <f>MAX(A1:M2)</f>
        <v>27</v>
      </c>
      <c r="E7" s="13" t="s">
        <v>10</v>
      </c>
      <c r="F7" s="13"/>
      <c r="G7" s="7" t="s">
        <v>47</v>
      </c>
      <c r="K7" s="2" t="s">
        <v>3</v>
      </c>
      <c r="L7" s="2">
        <f>MAX(A1:M2)</f>
        <v>27</v>
      </c>
    </row>
    <row r="8" spans="1:13" x14ac:dyDescent="0.45">
      <c r="A8" s="2" t="s">
        <v>2</v>
      </c>
      <c r="B8" s="2">
        <f>MIN(A1:M2)</f>
        <v>9</v>
      </c>
      <c r="E8" s="7">
        <f>B8</f>
        <v>9</v>
      </c>
      <c r="F8" s="7">
        <f t="shared" ref="F8:F13" si="0">E8+$B$15-0.001</f>
        <v>11.999000000000001</v>
      </c>
      <c r="G8" s="7">
        <f t="array" ref="G8:G13">FREQUENCY(A1:M2,F8:F13)</f>
        <v>1</v>
      </c>
      <c r="K8" s="2" t="s">
        <v>2</v>
      </c>
      <c r="L8" s="2">
        <f>MIN(A1:M2)</f>
        <v>9</v>
      </c>
    </row>
    <row r="9" spans="1:13" x14ac:dyDescent="0.45">
      <c r="E9" s="7">
        <f>F8+0.001</f>
        <v>12</v>
      </c>
      <c r="F9" s="7">
        <f t="shared" si="0"/>
        <v>14.999000000000001</v>
      </c>
      <c r="G9" s="7">
        <v>10</v>
      </c>
    </row>
    <row r="10" spans="1:13" x14ac:dyDescent="0.45">
      <c r="A10" s="2" t="s">
        <v>4</v>
      </c>
      <c r="B10" s="2">
        <v>26</v>
      </c>
      <c r="E10" s="7">
        <f t="shared" ref="E10:E13" si="1">F9+0.001</f>
        <v>15</v>
      </c>
      <c r="F10" s="7">
        <f t="shared" si="0"/>
        <v>17.998999999999999</v>
      </c>
      <c r="G10" s="7">
        <v>11</v>
      </c>
      <c r="K10" s="2" t="s">
        <v>4</v>
      </c>
      <c r="L10" s="2">
        <v>26</v>
      </c>
    </row>
    <row r="11" spans="1:13" x14ac:dyDescent="0.45">
      <c r="E11" s="7">
        <f t="shared" si="1"/>
        <v>18</v>
      </c>
      <c r="F11" s="7">
        <f t="shared" si="0"/>
        <v>20.998999999999999</v>
      </c>
      <c r="G11" s="7">
        <v>1</v>
      </c>
    </row>
    <row r="12" spans="1:13" x14ac:dyDescent="0.45">
      <c r="A12" s="2" t="s">
        <v>46</v>
      </c>
      <c r="B12" s="2">
        <f>1+1.4*LN(B10)</f>
        <v>5.5613351532300745</v>
      </c>
      <c r="E12" s="7">
        <f t="shared" si="1"/>
        <v>21</v>
      </c>
      <c r="F12" s="7">
        <f t="shared" si="0"/>
        <v>23.998999999999999</v>
      </c>
      <c r="G12" s="7">
        <v>2</v>
      </c>
      <c r="K12" s="2" t="s">
        <v>48</v>
      </c>
      <c r="L12" s="2">
        <f>2*LN(L10)</f>
        <v>6.5161930760429643</v>
      </c>
    </row>
    <row r="13" spans="1:13" x14ac:dyDescent="0.45">
      <c r="B13" s="2">
        <v>6</v>
      </c>
      <c r="E13" s="7">
        <f t="shared" si="1"/>
        <v>24</v>
      </c>
      <c r="F13" s="7">
        <f t="shared" si="0"/>
        <v>26.998999999999999</v>
      </c>
      <c r="G13" s="7">
        <v>0</v>
      </c>
      <c r="L13" s="2">
        <v>7</v>
      </c>
    </row>
    <row r="14" spans="1:13" x14ac:dyDescent="0.45">
      <c r="D14"/>
      <c r="E14"/>
      <c r="F14"/>
      <c r="G14"/>
      <c r="H14"/>
    </row>
    <row r="15" spans="1:13" x14ac:dyDescent="0.45">
      <c r="A15" s="7" t="s">
        <v>5</v>
      </c>
      <c r="B15" s="7">
        <f>(B7-B8)/B13</f>
        <v>3</v>
      </c>
      <c r="D15"/>
      <c r="E15"/>
      <c r="F15"/>
      <c r="G15"/>
      <c r="H15"/>
      <c r="K15" s="7" t="s">
        <v>5</v>
      </c>
      <c r="L15" s="7">
        <f>(L7-L8)/L13</f>
        <v>2.5714285714285716</v>
      </c>
    </row>
    <row r="16" spans="1:13" x14ac:dyDescent="0.45">
      <c r="D16"/>
      <c r="E16"/>
      <c r="F16"/>
      <c r="G16"/>
      <c r="H16"/>
    </row>
    <row r="17" spans="1:15" x14ac:dyDescent="0.45">
      <c r="D17"/>
      <c r="E17"/>
      <c r="F17"/>
      <c r="G17"/>
      <c r="H17"/>
    </row>
    <row r="18" spans="1:15" x14ac:dyDescent="0.45">
      <c r="E18" s="1"/>
      <c r="F18" s="1"/>
      <c r="G18" s="1"/>
    </row>
    <row r="19" spans="1:15" x14ac:dyDescent="0.45">
      <c r="A19" s="7" t="s">
        <v>10</v>
      </c>
      <c r="B19" s="7" t="s">
        <v>47</v>
      </c>
      <c r="C19" s="2" t="s">
        <v>12</v>
      </c>
      <c r="E19" s="13" t="s">
        <v>56</v>
      </c>
      <c r="F19" s="13"/>
      <c r="G19" s="13"/>
      <c r="H19" s="7">
        <f>PERCENTILE(A1:M2,0.25)</f>
        <v>14</v>
      </c>
      <c r="J19" s="2">
        <f>(26+1)*25/100</f>
        <v>6.75</v>
      </c>
      <c r="M19" s="13" t="s">
        <v>62</v>
      </c>
      <c r="N19" s="13"/>
      <c r="O19" s="7">
        <f>SUM(A1:M2)/26</f>
        <v>15.615384615384615</v>
      </c>
    </row>
    <row r="20" spans="1:15" x14ac:dyDescent="0.45">
      <c r="A20" s="7">
        <v>9</v>
      </c>
      <c r="B20" s="7">
        <f t="array" ref="B20:B30">FREQUENCY(A1:M2,A20:A30)</f>
        <v>1</v>
      </c>
      <c r="C20" s="2">
        <f>A20*B20</f>
        <v>9</v>
      </c>
      <c r="E20" s="13" t="s">
        <v>57</v>
      </c>
      <c r="F20" s="13"/>
      <c r="G20" s="13"/>
      <c r="H20" s="7">
        <f>PERCENTILE(A1:M2,0.5)</f>
        <v>15</v>
      </c>
      <c r="J20" s="2">
        <f>(26+1)*50/100</f>
        <v>13.5</v>
      </c>
      <c r="M20" s="13" t="s">
        <v>63</v>
      </c>
      <c r="N20" s="13"/>
      <c r="O20" s="7">
        <f>SUM(C20:C30)/26</f>
        <v>15.615384615384615</v>
      </c>
    </row>
    <row r="21" spans="1:15" x14ac:dyDescent="0.45">
      <c r="A21" s="7">
        <v>12</v>
      </c>
      <c r="B21" s="7">
        <v>2</v>
      </c>
      <c r="C21" s="2">
        <f t="shared" ref="C21:C30" si="2">A21*B21</f>
        <v>24</v>
      </c>
      <c r="E21" s="13" t="s">
        <v>58</v>
      </c>
      <c r="F21" s="13"/>
      <c r="G21" s="13"/>
      <c r="H21" s="7">
        <v>21.6</v>
      </c>
      <c r="J21" s="2">
        <f>(26+1)*90/100</f>
        <v>24.3</v>
      </c>
    </row>
    <row r="22" spans="1:15" x14ac:dyDescent="0.45">
      <c r="A22" s="7">
        <v>13</v>
      </c>
      <c r="B22" s="7">
        <v>2</v>
      </c>
      <c r="C22" s="2">
        <f t="shared" si="2"/>
        <v>26</v>
      </c>
      <c r="E22" s="1"/>
      <c r="F22" s="1"/>
      <c r="G22" s="1"/>
    </row>
    <row r="23" spans="1:15" x14ac:dyDescent="0.45">
      <c r="A23" s="7">
        <v>14</v>
      </c>
      <c r="B23" s="7">
        <v>6</v>
      </c>
      <c r="C23" s="2">
        <f t="shared" si="2"/>
        <v>84</v>
      </c>
      <c r="E23" s="1"/>
      <c r="F23" s="1"/>
      <c r="G23" s="1"/>
    </row>
    <row r="24" spans="1:15" x14ac:dyDescent="0.45">
      <c r="A24" s="7">
        <v>15</v>
      </c>
      <c r="B24" s="7">
        <v>5</v>
      </c>
      <c r="C24" s="2">
        <f t="shared" si="2"/>
        <v>75</v>
      </c>
      <c r="E24" s="1"/>
      <c r="F24" s="1"/>
      <c r="G24" s="1"/>
      <c r="H24" s="2" t="s">
        <v>9</v>
      </c>
    </row>
    <row r="25" spans="1:15" x14ac:dyDescent="0.45">
      <c r="A25" s="7">
        <v>16</v>
      </c>
      <c r="B25" s="7">
        <v>4</v>
      </c>
      <c r="C25" s="2">
        <f t="shared" si="2"/>
        <v>64</v>
      </c>
      <c r="E25" s="1"/>
      <c r="F25" s="1"/>
      <c r="G25" s="1"/>
    </row>
    <row r="26" spans="1:15" x14ac:dyDescent="0.45">
      <c r="A26" s="7">
        <v>17</v>
      </c>
      <c r="B26" s="7">
        <v>2</v>
      </c>
      <c r="C26" s="2">
        <f t="shared" si="2"/>
        <v>34</v>
      </c>
      <c r="E26" s="1"/>
      <c r="F26" s="1"/>
      <c r="G26" s="1"/>
    </row>
    <row r="27" spans="1:15" x14ac:dyDescent="0.45">
      <c r="A27" s="7">
        <v>19</v>
      </c>
      <c r="B27" s="7">
        <v>1</v>
      </c>
      <c r="C27" s="2">
        <f t="shared" si="2"/>
        <v>19</v>
      </c>
      <c r="E27" s="1"/>
      <c r="F27" s="1"/>
      <c r="G27" s="1"/>
    </row>
    <row r="28" spans="1:15" x14ac:dyDescent="0.45">
      <c r="A28" s="7">
        <v>21</v>
      </c>
      <c r="B28" s="7">
        <v>1</v>
      </c>
      <c r="C28" s="2">
        <f t="shared" si="2"/>
        <v>21</v>
      </c>
      <c r="E28" s="1"/>
      <c r="F28" s="1"/>
      <c r="G28" s="1"/>
    </row>
    <row r="29" spans="1:15" x14ac:dyDescent="0.45">
      <c r="A29" s="7">
        <v>23</v>
      </c>
      <c r="B29" s="7">
        <v>1</v>
      </c>
      <c r="C29" s="2">
        <f t="shared" si="2"/>
        <v>23</v>
      </c>
      <c r="E29" s="1"/>
      <c r="F29" s="1"/>
      <c r="G29" s="1"/>
    </row>
    <row r="30" spans="1:15" x14ac:dyDescent="0.45">
      <c r="A30" s="7">
        <v>27</v>
      </c>
      <c r="B30" s="7">
        <v>1</v>
      </c>
      <c r="C30" s="2">
        <f t="shared" si="2"/>
        <v>27</v>
      </c>
      <c r="E30" s="1"/>
      <c r="F30" s="1"/>
      <c r="G30" s="1"/>
    </row>
    <row r="31" spans="1:15" x14ac:dyDescent="0.45">
      <c r="A31" s="2" t="s">
        <v>11</v>
      </c>
      <c r="B31" s="2">
        <f>SUM(B20:B30)</f>
        <v>26</v>
      </c>
      <c r="E31" s="1"/>
      <c r="F31" s="1"/>
      <c r="G31" s="1"/>
    </row>
    <row r="32" spans="1:15" x14ac:dyDescent="0.45">
      <c r="E32" s="1"/>
      <c r="F32" s="1"/>
      <c r="G32" s="1"/>
    </row>
    <row r="33" spans="1:13" x14ac:dyDescent="0.45">
      <c r="A33" s="2">
        <v>16</v>
      </c>
      <c r="B33" s="2">
        <v>12</v>
      </c>
      <c r="C33" s="2">
        <v>15</v>
      </c>
      <c r="D33" s="2">
        <v>15</v>
      </c>
      <c r="E33" s="2">
        <v>23</v>
      </c>
      <c r="F33" s="2">
        <v>9</v>
      </c>
      <c r="G33" s="2">
        <v>15</v>
      </c>
      <c r="H33" s="2">
        <v>13</v>
      </c>
      <c r="I33" s="2">
        <v>14</v>
      </c>
      <c r="J33" s="2">
        <v>14</v>
      </c>
      <c r="K33" s="2">
        <v>21</v>
      </c>
      <c r="L33" s="2">
        <v>15</v>
      </c>
      <c r="M33" s="2">
        <v>14</v>
      </c>
    </row>
    <row r="34" spans="1:13" x14ac:dyDescent="0.45">
      <c r="A34" s="2">
        <v>17</v>
      </c>
      <c r="B34" s="2">
        <v>27</v>
      </c>
      <c r="C34" s="2">
        <v>15</v>
      </c>
      <c r="D34" s="2">
        <v>16</v>
      </c>
      <c r="E34" s="2">
        <v>12</v>
      </c>
      <c r="F34" s="2">
        <v>16</v>
      </c>
      <c r="G34" s="2">
        <v>19</v>
      </c>
      <c r="H34" s="2">
        <v>14</v>
      </c>
      <c r="I34" s="2">
        <v>16</v>
      </c>
      <c r="J34" s="2">
        <v>17</v>
      </c>
      <c r="K34" s="2">
        <v>13</v>
      </c>
      <c r="L34" s="2">
        <v>14</v>
      </c>
      <c r="M34" s="2">
        <v>14</v>
      </c>
    </row>
    <row r="36" spans="1:13" x14ac:dyDescent="0.45">
      <c r="A36" s="7" t="s">
        <v>71</v>
      </c>
      <c r="B36" s="7">
        <f>AVERAGE(A33:M34)</f>
        <v>15.615384615384615</v>
      </c>
      <c r="F36" s="7" t="s">
        <v>7</v>
      </c>
      <c r="G36" s="7">
        <f>MEDIAN(A33:M34)</f>
        <v>15</v>
      </c>
    </row>
    <row r="38" spans="1:13" x14ac:dyDescent="0.45">
      <c r="A38" s="2">
        <v>10000</v>
      </c>
      <c r="B38" s="2">
        <v>12</v>
      </c>
      <c r="C38" s="2">
        <v>15</v>
      </c>
      <c r="D38" s="2">
        <v>15</v>
      </c>
      <c r="E38" s="2">
        <v>23</v>
      </c>
      <c r="F38" s="2">
        <v>9</v>
      </c>
      <c r="G38" s="2">
        <v>15</v>
      </c>
      <c r="H38" s="2">
        <v>13</v>
      </c>
      <c r="I38" s="2">
        <v>14</v>
      </c>
      <c r="J38" s="2">
        <v>14</v>
      </c>
      <c r="K38" s="2">
        <v>21</v>
      </c>
      <c r="L38" s="2">
        <v>15</v>
      </c>
      <c r="M38" s="2">
        <v>14</v>
      </c>
    </row>
    <row r="39" spans="1:13" x14ac:dyDescent="0.45">
      <c r="A39" s="2">
        <v>17</v>
      </c>
      <c r="B39" s="2">
        <v>27</v>
      </c>
      <c r="C39" s="2">
        <v>15</v>
      </c>
      <c r="D39" s="2">
        <v>16</v>
      </c>
      <c r="E39" s="2">
        <v>12</v>
      </c>
      <c r="F39" s="2">
        <v>16</v>
      </c>
      <c r="G39" s="2">
        <v>19</v>
      </c>
      <c r="H39" s="2">
        <v>14</v>
      </c>
      <c r="I39" s="2">
        <v>16</v>
      </c>
      <c r="J39" s="2">
        <v>17</v>
      </c>
      <c r="K39" s="2">
        <v>13</v>
      </c>
      <c r="L39" s="2">
        <v>14</v>
      </c>
      <c r="M39" s="2">
        <v>14</v>
      </c>
    </row>
    <row r="41" spans="1:13" x14ac:dyDescent="0.45">
      <c r="A41" s="7" t="s">
        <v>71</v>
      </c>
      <c r="B41" s="7">
        <f>AVERAGE(A38:N39)</f>
        <v>399.61538461538464</v>
      </c>
      <c r="F41" s="7" t="s">
        <v>7</v>
      </c>
      <c r="G41" s="7">
        <f>MEDIAN(A38:N39)</f>
        <v>15</v>
      </c>
    </row>
    <row r="45" spans="1:13" x14ac:dyDescent="0.45">
      <c r="A45"/>
      <c r="B45"/>
      <c r="C45"/>
      <c r="D45"/>
      <c r="E45"/>
      <c r="F45"/>
      <c r="G45"/>
    </row>
  </sheetData>
  <mergeCells count="7">
    <mergeCell ref="E21:G21"/>
    <mergeCell ref="M19:N19"/>
    <mergeCell ref="M20:N20"/>
    <mergeCell ref="E7:F7"/>
    <mergeCell ref="A5:G5"/>
    <mergeCell ref="E19:G19"/>
    <mergeCell ref="E20:G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4A99-562C-4ED7-82A9-8824D4AD9182}">
  <dimension ref="A14:G14"/>
  <sheetViews>
    <sheetView workbookViewId="0">
      <selection activeCell="N13" sqref="A1:N13"/>
    </sheetView>
  </sheetViews>
  <sheetFormatPr defaultColWidth="6.59765625" defaultRowHeight="14.25" x14ac:dyDescent="0.45"/>
  <cols>
    <col min="1" max="16384" width="6.59765625" style="2"/>
  </cols>
  <sheetData>
    <row r="14" spans="1:7" x14ac:dyDescent="0.45">
      <c r="A14"/>
      <c r="B14"/>
      <c r="C14"/>
      <c r="D14"/>
      <c r="E14"/>
      <c r="F14"/>
      <c r="G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67AD-49C0-432B-A165-424D9ADA3CDA}">
  <dimension ref="A1:I18"/>
  <sheetViews>
    <sheetView zoomScale="95" zoomScaleNormal="145" workbookViewId="0">
      <selection activeCell="L16" sqref="L16"/>
    </sheetView>
  </sheetViews>
  <sheetFormatPr defaultRowHeight="14.25" x14ac:dyDescent="0.45"/>
  <cols>
    <col min="1" max="3" width="9.06640625" style="2"/>
    <col min="4" max="4" width="11.1328125" style="2" customWidth="1"/>
    <col min="5" max="5" width="9.06640625" style="2"/>
    <col min="6" max="6" width="9.796875" style="2" customWidth="1"/>
    <col min="7" max="7" width="3.73046875" style="2" customWidth="1"/>
    <col min="8" max="8" width="26.3984375" style="2" customWidth="1"/>
    <col min="9" max="9" width="26.9296875" style="2" customWidth="1"/>
    <col min="10" max="16384" width="9.06640625" style="2"/>
  </cols>
  <sheetData>
    <row r="1" spans="1:9" ht="28.5" x14ac:dyDescent="0.45">
      <c r="A1" s="14" t="s">
        <v>25</v>
      </c>
      <c r="B1" s="14"/>
      <c r="C1" s="14" t="s">
        <v>24</v>
      </c>
      <c r="D1" s="14"/>
      <c r="E1" s="14" t="s">
        <v>23</v>
      </c>
      <c r="F1" s="14"/>
      <c r="H1" s="10" t="s">
        <v>50</v>
      </c>
      <c r="I1" s="11" t="s">
        <v>51</v>
      </c>
    </row>
    <row r="2" spans="1:9" x14ac:dyDescent="0.45">
      <c r="A2" s="14" t="s">
        <v>26</v>
      </c>
      <c r="B2" s="14"/>
      <c r="C2" s="14">
        <v>30</v>
      </c>
      <c r="D2" s="14"/>
      <c r="E2" s="14">
        <v>0.16300000000000001</v>
      </c>
      <c r="F2" s="14"/>
      <c r="H2" s="7">
        <f>SUM($C$2:C2)</f>
        <v>30</v>
      </c>
      <c r="I2" s="7">
        <f>SUM(C2:$C$7)</f>
        <v>184</v>
      </c>
    </row>
    <row r="3" spans="1:9" x14ac:dyDescent="0.45">
      <c r="A3" s="14" t="s">
        <v>70</v>
      </c>
      <c r="B3" s="14"/>
      <c r="C3" s="14">
        <v>38</v>
      </c>
      <c r="D3" s="14"/>
      <c r="E3" s="14">
        <v>0.20699999999999999</v>
      </c>
      <c r="F3" s="14"/>
      <c r="H3" s="7">
        <f>SUM($C$2:C3)</f>
        <v>68</v>
      </c>
      <c r="I3" s="7">
        <f>SUM(C3:$C$7)</f>
        <v>154</v>
      </c>
    </row>
    <row r="4" spans="1:9" x14ac:dyDescent="0.45">
      <c r="A4" s="14" t="s">
        <v>27</v>
      </c>
      <c r="B4" s="14"/>
      <c r="C4" s="14">
        <v>50</v>
      </c>
      <c r="D4" s="14"/>
      <c r="E4" s="14">
        <v>0.27200000000000002</v>
      </c>
      <c r="F4" s="14"/>
      <c r="H4" s="7">
        <f>SUM($C$2:C4)</f>
        <v>118</v>
      </c>
      <c r="I4" s="7">
        <f>SUM(C4:$C$7)</f>
        <v>116</v>
      </c>
    </row>
    <row r="5" spans="1:9" x14ac:dyDescent="0.45">
      <c r="A5" s="14" t="s">
        <v>28</v>
      </c>
      <c r="B5" s="14"/>
      <c r="C5" s="14">
        <v>31</v>
      </c>
      <c r="D5" s="14"/>
      <c r="E5" s="14">
        <v>0.16800000000000001</v>
      </c>
      <c r="F5" s="14"/>
      <c r="H5" s="7">
        <f>SUM($C$2:C5)</f>
        <v>149</v>
      </c>
      <c r="I5" s="7">
        <f>SUM(C5:$C$7)</f>
        <v>66</v>
      </c>
    </row>
    <row r="6" spans="1:9" x14ac:dyDescent="0.45">
      <c r="A6" s="14" t="s">
        <v>29</v>
      </c>
      <c r="B6" s="14"/>
      <c r="C6" s="14">
        <v>22</v>
      </c>
      <c r="D6" s="14"/>
      <c r="E6" s="19">
        <v>0.12</v>
      </c>
      <c r="F6" s="19"/>
      <c r="H6" s="7">
        <f>SUM($C$2:C6)</f>
        <v>171</v>
      </c>
      <c r="I6" s="7">
        <f>SUM(C6:$C$7)</f>
        <v>35</v>
      </c>
    </row>
    <row r="7" spans="1:9" x14ac:dyDescent="0.45">
      <c r="A7" s="14" t="s">
        <v>30</v>
      </c>
      <c r="B7" s="14"/>
      <c r="C7" s="14">
        <v>13</v>
      </c>
      <c r="D7" s="14"/>
      <c r="E7" s="19">
        <v>7.0000000000000007E-2</v>
      </c>
      <c r="F7" s="19"/>
      <c r="H7" s="7">
        <f>SUM($C$2:C7)</f>
        <v>184</v>
      </c>
      <c r="I7" s="7">
        <f>SUM(C7:$C$7)</f>
        <v>13</v>
      </c>
    </row>
    <row r="8" spans="1:9" x14ac:dyDescent="0.45">
      <c r="A8" s="18" t="s">
        <v>52</v>
      </c>
      <c r="B8" s="18"/>
      <c r="C8" s="2">
        <v>184</v>
      </c>
    </row>
    <row r="9" spans="1:9" ht="56.25" customHeight="1" x14ac:dyDescent="0.45">
      <c r="H9" s="3" t="s">
        <v>54</v>
      </c>
      <c r="I9" s="3" t="s">
        <v>53</v>
      </c>
    </row>
    <row r="11" spans="1:9" x14ac:dyDescent="0.45">
      <c r="A11" s="13" t="s">
        <v>31</v>
      </c>
      <c r="B11" s="13"/>
    </row>
    <row r="12" spans="1:9" x14ac:dyDescent="0.45">
      <c r="A12" s="7" t="s">
        <v>32</v>
      </c>
      <c r="B12" s="7" t="s">
        <v>33</v>
      </c>
    </row>
    <row r="13" spans="1:9" x14ac:dyDescent="0.45">
      <c r="A13" s="7">
        <v>100</v>
      </c>
      <c r="B13" s="7">
        <v>300</v>
      </c>
    </row>
    <row r="14" spans="1:9" x14ac:dyDescent="0.45">
      <c r="A14" s="7">
        <v>300</v>
      </c>
      <c r="B14" s="7">
        <v>500</v>
      </c>
    </row>
    <row r="15" spans="1:9" x14ac:dyDescent="0.45">
      <c r="A15" s="7">
        <v>500</v>
      </c>
      <c r="B15" s="7">
        <v>700</v>
      </c>
    </row>
    <row r="16" spans="1:9" x14ac:dyDescent="0.45">
      <c r="A16" s="7">
        <v>700</v>
      </c>
      <c r="B16" s="7">
        <v>900</v>
      </c>
    </row>
    <row r="17" spans="1:2" x14ac:dyDescent="0.45">
      <c r="A17" s="7">
        <v>900</v>
      </c>
      <c r="B17" s="7">
        <v>1100</v>
      </c>
    </row>
    <row r="18" spans="1:2" x14ac:dyDescent="0.45">
      <c r="A18" s="7">
        <v>1100</v>
      </c>
      <c r="B18" s="7">
        <v>1300</v>
      </c>
    </row>
  </sheetData>
  <mergeCells count="23">
    <mergeCell ref="E6:F6"/>
    <mergeCell ref="E7:F7"/>
    <mergeCell ref="A7:B7"/>
    <mergeCell ref="E1:F1"/>
    <mergeCell ref="E2:F2"/>
    <mergeCell ref="E3:F3"/>
    <mergeCell ref="E4:F4"/>
    <mergeCell ref="E5:F5"/>
    <mergeCell ref="A11:B11"/>
    <mergeCell ref="C1:D1"/>
    <mergeCell ref="C2:D2"/>
    <mergeCell ref="C3:D3"/>
    <mergeCell ref="C4:D4"/>
    <mergeCell ref="C5:D5"/>
    <mergeCell ref="C6:D6"/>
    <mergeCell ref="A1:B1"/>
    <mergeCell ref="A2:B2"/>
    <mergeCell ref="A3:B3"/>
    <mergeCell ref="A4:B4"/>
    <mergeCell ref="A5:B5"/>
    <mergeCell ref="A6:B6"/>
    <mergeCell ref="A8:B8"/>
    <mergeCell ref="C7:D7"/>
  </mergeCells>
  <pageMargins left="0.7" right="0.7" top="0.75" bottom="0.75" header="0.3" footer="0.3"/>
  <ignoredErrors>
    <ignoredError sqref="H3:H7 I3:I8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83CF-AEE5-40C3-B696-0D653FB60CC8}">
  <dimension ref="A1:F32"/>
  <sheetViews>
    <sheetView topLeftCell="A16" zoomScale="84" workbookViewId="0">
      <selection activeCell="S24" sqref="S24"/>
    </sheetView>
  </sheetViews>
  <sheetFormatPr defaultRowHeight="14.25" x14ac:dyDescent="0.45"/>
  <cols>
    <col min="1" max="4" width="9.06640625" style="2"/>
    <col min="5" max="5" width="17.86328125" style="2" customWidth="1"/>
    <col min="6" max="16384" width="9.06640625" style="2"/>
  </cols>
  <sheetData>
    <row r="1" spans="1:6" x14ac:dyDescent="0.45">
      <c r="A1" s="14" t="s">
        <v>34</v>
      </c>
      <c r="B1" s="14"/>
      <c r="C1" s="14" t="s">
        <v>35</v>
      </c>
      <c r="D1" s="14"/>
      <c r="E1" s="2" t="s">
        <v>55</v>
      </c>
    </row>
    <row r="2" spans="1:6" x14ac:dyDescent="0.45">
      <c r="A2" s="14" t="s">
        <v>36</v>
      </c>
      <c r="B2" s="14"/>
      <c r="C2" s="14">
        <v>10</v>
      </c>
      <c r="D2" s="14"/>
      <c r="E2" s="2">
        <f>SUM($C$2:C2)</f>
        <v>10</v>
      </c>
      <c r="F2" s="2">
        <v>55</v>
      </c>
    </row>
    <row r="3" spans="1:6" x14ac:dyDescent="0.45">
      <c r="A3" s="14" t="s">
        <v>59</v>
      </c>
      <c r="B3" s="14"/>
      <c r="C3" s="14">
        <v>29</v>
      </c>
      <c r="D3" s="14"/>
      <c r="E3" s="2">
        <f>SUM($C$2:C3)</f>
        <v>39</v>
      </c>
      <c r="F3" s="2">
        <v>65</v>
      </c>
    </row>
    <row r="4" spans="1:6" x14ac:dyDescent="0.45">
      <c r="A4" s="14" t="s">
        <v>67</v>
      </c>
      <c r="B4" s="14"/>
      <c r="C4" s="14">
        <v>2</v>
      </c>
      <c r="D4" s="14"/>
      <c r="E4" s="2">
        <f>SUM($C$2:C4)</f>
        <v>41</v>
      </c>
      <c r="F4" s="2">
        <v>75</v>
      </c>
    </row>
    <row r="5" spans="1:6" x14ac:dyDescent="0.45">
      <c r="A5" s="14" t="s">
        <v>68</v>
      </c>
      <c r="B5" s="14"/>
      <c r="C5" s="14">
        <v>13</v>
      </c>
      <c r="D5" s="14"/>
      <c r="E5" s="2">
        <f>SUM($C$2:C5)</f>
        <v>54</v>
      </c>
      <c r="F5" s="2">
        <v>85</v>
      </c>
    </row>
    <row r="6" spans="1:6" x14ac:dyDescent="0.45">
      <c r="A6" s="14" t="s">
        <v>69</v>
      </c>
      <c r="B6" s="14"/>
      <c r="C6" s="14" t="s">
        <v>38</v>
      </c>
      <c r="D6" s="14"/>
      <c r="E6" s="2">
        <f>SUM($C$2:C6)</f>
        <v>54</v>
      </c>
      <c r="F6" s="2">
        <v>95</v>
      </c>
    </row>
    <row r="7" spans="1:6" x14ac:dyDescent="0.45">
      <c r="A7" s="14" t="s">
        <v>37</v>
      </c>
      <c r="B7" s="14"/>
      <c r="C7" s="14">
        <v>6</v>
      </c>
      <c r="D7" s="14"/>
      <c r="E7" s="2">
        <f>SUM($C$2:C7)</f>
        <v>60</v>
      </c>
      <c r="F7" s="2">
        <v>105</v>
      </c>
    </row>
    <row r="9" spans="1:6" x14ac:dyDescent="0.45">
      <c r="C9" s="5" t="s">
        <v>40</v>
      </c>
      <c r="D9" s="2" t="s">
        <v>41</v>
      </c>
      <c r="E9" s="6">
        <f>70-60</f>
        <v>10</v>
      </c>
    </row>
    <row r="10" spans="1:6" x14ac:dyDescent="0.45">
      <c r="A10" s="14" t="s">
        <v>39</v>
      </c>
      <c r="B10" s="14"/>
      <c r="C10" s="14"/>
      <c r="D10" s="2" t="s">
        <v>42</v>
      </c>
      <c r="E10" s="7">
        <f>60-10</f>
        <v>50</v>
      </c>
    </row>
    <row r="12" spans="1:6" x14ac:dyDescent="0.45">
      <c r="D12" s="5" t="s">
        <v>40</v>
      </c>
      <c r="E12" s="2" t="s">
        <v>45</v>
      </c>
      <c r="F12" s="6">
        <f>70-60</f>
        <v>10</v>
      </c>
    </row>
    <row r="13" spans="1:6" x14ac:dyDescent="0.45">
      <c r="A13" s="14" t="s">
        <v>43</v>
      </c>
      <c r="B13" s="14"/>
      <c r="C13" s="14"/>
      <c r="D13" s="14"/>
      <c r="E13" s="2" t="s">
        <v>44</v>
      </c>
      <c r="F13" s="7">
        <f>100+10</f>
        <v>110</v>
      </c>
    </row>
    <row r="31" spans="1:6" x14ac:dyDescent="0.45">
      <c r="A31" s="20" t="s">
        <v>60</v>
      </c>
      <c r="B31" s="20"/>
      <c r="C31" s="2" t="s">
        <v>59</v>
      </c>
      <c r="E31" s="2" t="s">
        <v>61</v>
      </c>
      <c r="F31" s="2" t="s">
        <v>59</v>
      </c>
    </row>
    <row r="32" spans="1:6" x14ac:dyDescent="0.45">
      <c r="A32" s="21" t="s">
        <v>7</v>
      </c>
      <c r="B32" s="21"/>
      <c r="C32" s="7">
        <f xml:space="preserve"> 60+10*((0.5*SUM(C2:D7)-E2)/C3)</f>
        <v>66.896551724137936</v>
      </c>
      <c r="E32" s="12" t="s">
        <v>8</v>
      </c>
      <c r="F32" s="7">
        <f>60+10*((C3-C2)/((C3-C2)+(C3-C4)))</f>
        <v>64.130434782608688</v>
      </c>
    </row>
  </sheetData>
  <mergeCells count="18">
    <mergeCell ref="A6:B6"/>
    <mergeCell ref="A10:C10"/>
    <mergeCell ref="A13:D13"/>
    <mergeCell ref="A31:B31"/>
    <mergeCell ref="A32:B32"/>
    <mergeCell ref="C6:D6"/>
    <mergeCell ref="C7:D7"/>
    <mergeCell ref="A7:B7"/>
    <mergeCell ref="C5:D5"/>
    <mergeCell ref="A1:B1"/>
    <mergeCell ref="C1:D1"/>
    <mergeCell ref="C2:D2"/>
    <mergeCell ref="C3:D3"/>
    <mergeCell ref="C4:D4"/>
    <mergeCell ref="A2:B2"/>
    <mergeCell ref="A3:B3"/>
    <mergeCell ref="A4:B4"/>
    <mergeCell ref="A5: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Задание1</vt:lpstr>
      <vt:lpstr>зд к Заданию1</vt:lpstr>
      <vt:lpstr>Лист1</vt:lpstr>
      <vt:lpstr>Таблица1</vt:lpstr>
      <vt:lpstr>Таблица2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 Кочеткова</cp:lastModifiedBy>
  <dcterms:created xsi:type="dcterms:W3CDTF">2015-06-05T18:19:34Z</dcterms:created>
  <dcterms:modified xsi:type="dcterms:W3CDTF">2023-12-23T17:21:55Z</dcterms:modified>
</cp:coreProperties>
</file>
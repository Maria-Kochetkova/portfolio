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A97CB482-BADB-42FB-8F99-AAA53830E714}" xr6:coauthVersionLast="47" xr6:coauthVersionMax="47" xr10:uidLastSave="{00000000-0000-0000-0000-000000000000}"/>
  <bookViews>
    <workbookView xWindow="-98" yWindow="-98" windowWidth="19095" windowHeight="12075" activeTab="2" xr2:uid="{00000000-000D-0000-FFFF-FFFF00000000}"/>
  </bookViews>
  <sheets>
    <sheet name="Данные" sheetId="1" r:id="rId1"/>
    <sheet name="Числ характер распред" sheetId="2" r:id="rId2"/>
    <sheet name="Проверка на нормаль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3" l="1"/>
  <c r="H9" i="3"/>
  <c r="H4" i="3" l="1"/>
  <c r="E50" i="2"/>
  <c r="A51" i="2"/>
  <c r="C33" i="2"/>
  <c r="A21" i="2"/>
  <c r="D3" i="1" a="1"/>
  <c r="D6" i="1" s="1"/>
  <c r="B11" i="1"/>
  <c r="B10" i="1"/>
  <c r="B9" i="1"/>
  <c r="B8" i="1"/>
  <c r="B7" i="1"/>
  <c r="B6" i="1"/>
  <c r="B5" i="1"/>
  <c r="B4" i="1"/>
  <c r="B3" i="1"/>
  <c r="C5" i="1"/>
  <c r="C6" i="1"/>
  <c r="C7" i="1"/>
  <c r="C8" i="1"/>
  <c r="C9" i="1"/>
  <c r="C10" i="1"/>
  <c r="C11" i="1"/>
  <c r="C4" i="1"/>
  <c r="C3" i="1"/>
  <c r="B22" i="1"/>
  <c r="B19" i="1"/>
  <c r="J19" i="3"/>
  <c r="J20" i="3"/>
  <c r="J21" i="3"/>
  <c r="J22" i="3"/>
  <c r="J23" i="3"/>
  <c r="J24" i="3"/>
  <c r="J25" i="3"/>
  <c r="J26" i="3"/>
  <c r="J27" i="3"/>
  <c r="H19" i="3"/>
  <c r="L19" i="3" s="1"/>
  <c r="H20" i="3"/>
  <c r="H21" i="3"/>
  <c r="H22" i="3"/>
  <c r="L22" i="3" s="1"/>
  <c r="H23" i="3"/>
  <c r="L23" i="3" s="1"/>
  <c r="H24" i="3"/>
  <c r="H25" i="3"/>
  <c r="H26" i="3"/>
  <c r="H27" i="3"/>
  <c r="F28" i="3"/>
  <c r="D28" i="3"/>
  <c r="N13" i="3"/>
  <c r="F4" i="3"/>
  <c r="F5" i="3"/>
  <c r="F6" i="3"/>
  <c r="F7" i="3"/>
  <c r="F8" i="3"/>
  <c r="F9" i="3"/>
  <c r="F10" i="3"/>
  <c r="F11" i="3"/>
  <c r="F12" i="3"/>
  <c r="L21" i="3" l="1"/>
  <c r="L20" i="3"/>
  <c r="L27" i="3"/>
  <c r="L26" i="3"/>
  <c r="L25" i="3"/>
  <c r="L24" i="3"/>
  <c r="D5" i="1"/>
  <c r="D4" i="1"/>
  <c r="D3" i="1"/>
  <c r="E3" i="1" s="1"/>
  <c r="D11" i="1"/>
  <c r="D10" i="1"/>
  <c r="D9" i="1"/>
  <c r="D8" i="1"/>
  <c r="D7" i="1"/>
  <c r="C30" i="3" l="1"/>
  <c r="A6" i="2"/>
  <c r="C6" i="2" s="1"/>
  <c r="A14" i="2"/>
  <c r="A7" i="2"/>
  <c r="A8" i="2"/>
  <c r="A9" i="2"/>
  <c r="C9" i="2" s="1"/>
  <c r="A10" i="2"/>
  <c r="C10" i="2" s="1"/>
  <c r="A11" i="2"/>
  <c r="C11" i="2" s="1"/>
  <c r="A12" i="2"/>
  <c r="A13" i="2"/>
  <c r="D12" i="1" l="1"/>
  <c r="H3" i="2"/>
  <c r="C8" i="2"/>
  <c r="C14" i="2"/>
  <c r="E8" i="1"/>
  <c r="E5" i="1"/>
  <c r="N3" i="2" s="1"/>
  <c r="E11" i="1"/>
  <c r="C13" i="2"/>
  <c r="C7" i="2"/>
  <c r="E4" i="1"/>
  <c r="E10" i="1"/>
  <c r="E7" i="1"/>
  <c r="E9" i="1"/>
  <c r="E6" i="1"/>
  <c r="C12" i="2"/>
  <c r="B3" i="2" l="1"/>
  <c r="A57" i="2" s="1"/>
  <c r="A43" i="2" l="1"/>
  <c r="A39" i="2"/>
  <c r="A37" i="2"/>
  <c r="A52" i="2"/>
  <c r="A27" i="2"/>
  <c r="A23" i="2"/>
  <c r="A36" i="2"/>
  <c r="A40" i="2"/>
  <c r="A41" i="2"/>
  <c r="A44" i="2"/>
  <c r="A55" i="2"/>
  <c r="A24" i="2"/>
  <c r="A53" i="2"/>
  <c r="A56" i="2"/>
  <c r="A25" i="2"/>
  <c r="A58" i="2"/>
  <c r="A26" i="2"/>
  <c r="A28" i="2"/>
  <c r="A38" i="2"/>
  <c r="A59" i="2"/>
  <c r="A42" i="2"/>
  <c r="A54" i="2"/>
  <c r="A22" i="2"/>
  <c r="A29" i="2"/>
  <c r="E35" i="2" l="1"/>
  <c r="B18" i="2"/>
  <c r="G18" i="2" s="1"/>
  <c r="H8" i="3" s="1"/>
  <c r="H10" i="3" l="1"/>
  <c r="H7" i="3"/>
  <c r="H5" i="3"/>
  <c r="H11" i="3"/>
  <c r="C48" i="2"/>
  <c r="H6" i="3"/>
  <c r="L18" i="2"/>
  <c r="H12" i="3"/>
  <c r="D13" i="3"/>
  <c r="L10" i="3" s="1"/>
  <c r="L7" i="3" l="1"/>
  <c r="L9" i="3"/>
  <c r="L8" i="3"/>
  <c r="L12" i="3"/>
  <c r="L5" i="3"/>
  <c r="L4" i="3"/>
  <c r="L6" i="3"/>
  <c r="L11" i="3"/>
  <c r="L13" i="3" l="1"/>
</calcChain>
</file>

<file path=xl/sharedStrings.xml><?xml version="1.0" encoding="utf-8"?>
<sst xmlns="http://schemas.openxmlformats.org/spreadsheetml/2006/main" count="76" uniqueCount="47">
  <si>
    <t>-</t>
  </si>
  <si>
    <t>Итого:</t>
  </si>
  <si>
    <t>1. Характеристики положения (средняя арифметическая, мода, медиана).</t>
  </si>
  <si>
    <t>x'</t>
  </si>
  <si>
    <t>x' * f_i</t>
  </si>
  <si>
    <t>Mo</t>
  </si>
  <si>
    <t>Mo интервал</t>
  </si>
  <si>
    <t>25 - 30</t>
  </si>
  <si>
    <t>Me</t>
  </si>
  <si>
    <t>Me интервал</t>
  </si>
  <si>
    <t>30 - 35</t>
  </si>
  <si>
    <t>Накопленные частоты</t>
  </si>
  <si>
    <t>2. Характеристики рассеяния (дисперсия, среднее квадратическое отклонение, коэффициент вариации).</t>
  </si>
  <si>
    <t>Дисперсия</t>
  </si>
  <si>
    <r>
      <t>Ср ар ( x</t>
    </r>
    <r>
      <rPr>
        <b/>
        <sz val="11"/>
        <color theme="0"/>
        <rFont val="Calibri"/>
        <family val="2"/>
        <charset val="204"/>
      </rPr>
      <t xml:space="preserve">̅ </t>
    </r>
    <r>
      <rPr>
        <b/>
        <sz val="11"/>
        <color theme="0"/>
        <rFont val="Calibri"/>
        <family val="2"/>
        <charset val="204"/>
        <scheme val="minor"/>
      </rPr>
      <t>)</t>
    </r>
  </si>
  <si>
    <t>Коэф вар</t>
  </si>
  <si>
    <t>Коэф асимметрии</t>
  </si>
  <si>
    <t>3. Характеристики меры скошенности (коэффициент асимметрии).</t>
  </si>
  <si>
    <t>f_i * (x' - x̅)^2</t>
  </si>
  <si>
    <t>f_i * (x' - x̅)^3</t>
  </si>
  <si>
    <t>M3</t>
  </si>
  <si>
    <t>4. Характеристики островершенности (эксцесс).</t>
  </si>
  <si>
    <t>Эксцесс</t>
  </si>
  <si>
    <t>f_i * (x' - x̅)^4</t>
  </si>
  <si>
    <t>M4</t>
  </si>
  <si>
    <t>Ср кв откл (σ)</t>
  </si>
  <si>
    <t>Середина интервала, x_i</t>
  </si>
  <si>
    <t>Теоретические частоты</t>
  </si>
  <si>
    <t>Накопленные эмперические частоты</t>
  </si>
  <si>
    <t>Накопленные теоретические частоты</t>
  </si>
  <si>
    <t>f_i</t>
  </si>
  <si>
    <t>f_m</t>
  </si>
  <si>
    <t>F_i</t>
  </si>
  <si>
    <t>F_m</t>
  </si>
  <si>
    <t>D_max</t>
  </si>
  <si>
    <t>=&gt;</t>
  </si>
  <si>
    <t>P(λ)=</t>
  </si>
  <si>
    <t>λ</t>
  </si>
  <si>
    <t xml:space="preserve"> распределение  исследуемых данных не соответствует нормальному закону</t>
  </si>
  <si>
    <t>max</t>
  </si>
  <si>
    <t>min</t>
  </si>
  <si>
    <t>n</t>
  </si>
  <si>
    <t>k</t>
  </si>
  <si>
    <t>∆</t>
  </si>
  <si>
    <t>Возраст опрашиваемых, лет</t>
  </si>
  <si>
    <t>Кол-во программистов, f_i</t>
  </si>
  <si>
    <t>Кол-во программистов (эмперические частоты)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</si>
</sst>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/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0" fontId="1" fillId="4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4" fillId="3" borderId="2" xfId="3" applyAlignment="1">
      <alignment horizontal="center"/>
    </xf>
    <xf numFmtId="0" fontId="3" fillId="2" borderId="1" xfId="2" applyAlignment="1">
      <alignment horizontal="center"/>
    </xf>
    <xf numFmtId="9" fontId="4" fillId="3" borderId="2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2" xfId="3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4" fillId="3" borderId="2" xfId="3" applyAlignment="1">
      <alignment horizontal="right"/>
    </xf>
    <xf numFmtId="0" fontId="4" fillId="3" borderId="2" xfId="3" applyAlignment="1">
      <alignment horizontal="center"/>
    </xf>
    <xf numFmtId="0" fontId="4" fillId="3" borderId="3" xfId="3" applyBorder="1" applyAlignment="1">
      <alignment horizontal="center" wrapText="1"/>
    </xf>
    <xf numFmtId="0" fontId="4" fillId="3" borderId="4" xfId="3" applyBorder="1" applyAlignment="1">
      <alignment horizontal="center" wrapText="1"/>
    </xf>
    <xf numFmtId="0" fontId="4" fillId="3" borderId="5" xfId="3" applyBorder="1" applyAlignment="1">
      <alignment horizontal="center" wrapText="1"/>
    </xf>
    <xf numFmtId="0" fontId="4" fillId="3" borderId="6" xfId="3" applyBorder="1" applyAlignment="1">
      <alignment horizontal="center" wrapText="1"/>
    </xf>
    <xf numFmtId="0" fontId="4" fillId="3" borderId="2" xfId="3" applyAlignment="1">
      <alignment horizontal="center" wrapText="1"/>
    </xf>
    <xf numFmtId="0" fontId="1" fillId="4" borderId="0" xfId="4" applyAlignment="1">
      <alignment horizontal="left"/>
    </xf>
    <xf numFmtId="0" fontId="3" fillId="2" borderId="1" xfId="2" applyAlignment="1">
      <alignment horizontal="center"/>
    </xf>
    <xf numFmtId="0" fontId="1" fillId="4" borderId="0" xfId="4" applyAlignment="1">
      <alignment horizontal="left" vertical="center"/>
    </xf>
    <xf numFmtId="0" fontId="4" fillId="3" borderId="8" xfId="3" applyBorder="1" applyAlignment="1">
      <alignment horizontal="center" vertical="center"/>
    </xf>
    <xf numFmtId="0" fontId="4" fillId="3" borderId="0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3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3" borderId="2" xfId="3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3" borderId="2" xfId="3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3" borderId="3" xfId="3" applyBorder="1" applyAlignment="1">
      <alignment horizontal="center" vertical="center" wrapText="1"/>
    </xf>
    <xf numFmtId="0" fontId="4" fillId="3" borderId="7" xfId="3" applyBorder="1" applyAlignment="1">
      <alignment horizontal="center" vertical="center" wrapText="1"/>
    </xf>
    <xf numFmtId="0" fontId="4" fillId="3" borderId="4" xfId="3" applyBorder="1" applyAlignment="1">
      <alignment horizontal="center" vertical="center" wrapText="1"/>
    </xf>
    <xf numFmtId="0" fontId="4" fillId="3" borderId="8" xfId="3" applyBorder="1" applyAlignment="1">
      <alignment horizontal="center" vertical="center" wrapText="1"/>
    </xf>
    <xf numFmtId="0" fontId="4" fillId="3" borderId="0" xfId="3" applyBorder="1" applyAlignment="1">
      <alignment horizontal="center" vertical="center" wrapText="1"/>
    </xf>
    <xf numFmtId="0" fontId="4" fillId="3" borderId="9" xfId="3" applyBorder="1" applyAlignment="1">
      <alignment horizontal="center" vertical="center" wrapText="1"/>
    </xf>
    <xf numFmtId="0" fontId="4" fillId="3" borderId="5" xfId="3" applyBorder="1" applyAlignment="1">
      <alignment horizontal="center" vertical="center" wrapText="1"/>
    </xf>
    <xf numFmtId="0" fontId="4" fillId="3" borderId="10" xfId="3" applyBorder="1" applyAlignment="1">
      <alignment horizontal="center" vertical="center" wrapText="1"/>
    </xf>
    <xf numFmtId="0" fontId="4" fillId="3" borderId="6" xfId="3" applyBorder="1" applyAlignment="1">
      <alignment horizontal="center" vertical="center" wrapText="1"/>
    </xf>
    <xf numFmtId="0" fontId="0" fillId="0" borderId="0" xfId="0" applyAlignment="1"/>
    <xf numFmtId="0" fontId="4" fillId="3" borderId="11" xfId="3" applyBorder="1" applyAlignment="1">
      <alignment horizontal="center" wrapText="1"/>
    </xf>
    <xf numFmtId="0" fontId="4" fillId="3" borderId="12" xfId="3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center"/>
    </xf>
  </cellXfs>
  <cellStyles count="5">
    <cellStyle name="60% — акцент2" xfId="4" builtinId="36"/>
    <cellStyle name="Вывод" xfId="2" builtinId="21"/>
    <cellStyle name="Контрольная ячейка" xfId="3" builtinId="2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307182</xdr:colOff>
      <xdr:row>0</xdr:row>
      <xdr:rowOff>140494</xdr:rowOff>
    </xdr:from>
    <xdr:ext cx="654538" cy="3126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4E0507-8BB5-EF0F-9421-40D5A183BDE4}"/>
                </a:ext>
              </a:extLst>
            </xdr:cNvPr>
            <xdr:cNvSpPr txBox="1"/>
          </xdr:nvSpPr>
          <xdr:spPr>
            <a:xfrm>
              <a:off x="4841082" y="140494"/>
              <a:ext cx="654538" cy="312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i</m:t>
                        </m:r>
                      </m:sub>
                    </m:sSub>
                    <m: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</m:t>
                            </m:r>
                          </m:sub>
                        </m:sSub>
                        <m: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</m:acc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4E0507-8BB5-EF0F-9421-40D5A183BDE4}"/>
                </a:ext>
              </a:extLst>
            </xdr:cNvPr>
            <xdr:cNvSpPr txBox="1"/>
          </xdr:nvSpPr>
          <xdr:spPr>
            <a:xfrm>
              <a:off x="4841082" y="140494"/>
              <a:ext cx="654538" cy="312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t_i=(x_i−x ̅)/σ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135732</xdr:colOff>
      <xdr:row>0</xdr:row>
      <xdr:rowOff>76200</xdr:rowOff>
    </xdr:from>
    <xdr:ext cx="1001620" cy="3706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FFEF3D-CC56-0643-8CBF-67561CFF51AA}"/>
                </a:ext>
              </a:extLst>
            </xdr:cNvPr>
            <xdr:cNvSpPr txBox="1"/>
          </xdr:nvSpPr>
          <xdr:spPr>
            <a:xfrm>
              <a:off x="5965032" y="76200"/>
              <a:ext cx="1001620" cy="370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ru-RU" sz="110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φ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t</m:t>
                        </m:r>
                      </m:e>
                    </m:d>
                    <m: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π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t</m:t>
                                </m:r>
                              </m:e>
                              <m:sup>
                                <m:r>
                                  <a:rPr lang="en-US" sz="1100" b="0" i="0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0">
                                <a:solidFill>
                                  <a:schemeClr val="bg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FFEF3D-CC56-0643-8CBF-67561CFF51AA}"/>
                </a:ext>
              </a:extLst>
            </xdr:cNvPr>
            <xdr:cNvSpPr txBox="1"/>
          </xdr:nvSpPr>
          <xdr:spPr>
            <a:xfrm>
              <a:off x="5965032" y="76200"/>
              <a:ext cx="1001620" cy="370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(t)=1/√2π e^(−t^2/2)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588169</xdr:colOff>
      <xdr:row>0</xdr:row>
      <xdr:rowOff>102394</xdr:rowOff>
    </xdr:from>
    <xdr:ext cx="822533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437932-8F15-F34E-56B0-7D828D4F8BFC}"/>
                </a:ext>
              </a:extLst>
            </xdr:cNvPr>
            <xdr:cNvSpPr txBox="1"/>
          </xdr:nvSpPr>
          <xdr:spPr>
            <a:xfrm>
              <a:off x="7712869" y="102394"/>
              <a:ext cx="82253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sub>
                    </m:sSub>
                    <m: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φ</m:t>
                    </m:r>
                    <m: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t</m:t>
                    </m:r>
                    <m:r>
                      <a:rPr lang="en-US" sz="1100" b="0" i="0">
                        <a:solidFill>
                          <a:schemeClr val="bg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Nd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bg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437932-8F15-F34E-56B0-7D828D4F8BFC}"/>
                </a:ext>
              </a:extLst>
            </xdr:cNvPr>
            <xdr:cNvSpPr txBox="1"/>
          </xdr:nvSpPr>
          <xdr:spPr>
            <a:xfrm>
              <a:off x="7712869" y="102394"/>
              <a:ext cx="82253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f_m=φ(t)Nd/σ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116682</xdr:colOff>
      <xdr:row>15</xdr:row>
      <xdr:rowOff>92869</xdr:rowOff>
    </xdr:from>
    <xdr:ext cx="110728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300798D-00AA-40FE-8059-B1C7F4C4466D}"/>
                </a:ext>
              </a:extLst>
            </xdr:cNvPr>
            <xdr:cNvSpPr txBox="1"/>
          </xdr:nvSpPr>
          <xdr:spPr>
            <a:xfrm>
              <a:off x="7431882" y="273844"/>
              <a:ext cx="110728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</m:sSub>
                    <m:r>
                      <a:rPr lang="en-US" sz="1200" b="0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=|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</m:sSub>
                    <m:r>
                      <a:rPr lang="en-US" sz="1200" b="0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m</m:t>
                        </m:r>
                      </m:sub>
                    </m:sSub>
                    <m:r>
                      <a:rPr lang="en-US" sz="1200" b="0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200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300798D-00AA-40FE-8059-B1C7F4C4466D}"/>
                </a:ext>
              </a:extLst>
            </xdr:cNvPr>
            <xdr:cNvSpPr txBox="1"/>
          </xdr:nvSpPr>
          <xdr:spPr>
            <a:xfrm>
              <a:off x="7431882" y="273844"/>
              <a:ext cx="110728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D_i=|F_i−F_m |</a:t>
              </a:r>
              <a:endParaRPr lang="ru-RU" sz="1200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150019</xdr:colOff>
      <xdr:row>31</xdr:row>
      <xdr:rowOff>21431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A1BE58-B430-C2DC-5B33-DB8D14C57B0D}"/>
            </a:ext>
          </a:extLst>
        </xdr:cNvPr>
        <xdr:cNvSpPr txBox="1"/>
      </xdr:nvSpPr>
      <xdr:spPr>
        <a:xfrm>
          <a:off x="796717" y="64683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 i="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workbookViewId="0">
      <selection activeCell="D3" sqref="D3"/>
    </sheetView>
  </sheetViews>
  <sheetFormatPr defaultRowHeight="14.25" x14ac:dyDescent="0.45"/>
  <cols>
    <col min="1" max="3" width="9.06640625" style="1"/>
    <col min="4" max="4" width="18.06640625" style="1" customWidth="1"/>
    <col min="5" max="7" width="9.06640625" style="1"/>
    <col min="8" max="33" width="5.59765625" style="1" customWidth="1"/>
    <col min="34" max="16384" width="9.06640625" style="1"/>
  </cols>
  <sheetData>
    <row r="1" spans="1:23" ht="15" customHeight="1" thickTop="1" thickBot="1" x14ac:dyDescent="0.5">
      <c r="A1" s="16" t="s">
        <v>44</v>
      </c>
      <c r="B1" s="16"/>
      <c r="C1" s="16"/>
      <c r="D1" s="41" t="s">
        <v>45</v>
      </c>
      <c r="E1" s="12" t="s">
        <v>11</v>
      </c>
      <c r="F1" s="13"/>
      <c r="H1" s="1">
        <v>15</v>
      </c>
      <c r="I1" s="1">
        <v>33</v>
      </c>
      <c r="J1" s="1">
        <v>27</v>
      </c>
      <c r="K1" s="1">
        <v>25</v>
      </c>
      <c r="L1" s="1">
        <v>29</v>
      </c>
      <c r="M1" s="1">
        <v>35</v>
      </c>
      <c r="N1" s="1">
        <v>27</v>
      </c>
      <c r="O1" s="1">
        <v>34</v>
      </c>
      <c r="P1" s="1">
        <v>28</v>
      </c>
      <c r="Q1" s="1">
        <v>38</v>
      </c>
      <c r="R1" s="1">
        <v>25</v>
      </c>
      <c r="S1" s="1">
        <v>41</v>
      </c>
      <c r="T1" s="1">
        <v>26</v>
      </c>
      <c r="U1" s="1">
        <v>32</v>
      </c>
      <c r="V1" s="1">
        <v>32</v>
      </c>
      <c r="W1"/>
    </row>
    <row r="2" spans="1:23" ht="15" thickTop="1" thickBot="1" x14ac:dyDescent="0.5">
      <c r="A2" s="16"/>
      <c r="B2" s="16"/>
      <c r="C2" s="16"/>
      <c r="D2" s="42"/>
      <c r="E2" s="14"/>
      <c r="F2" s="15"/>
      <c r="H2" s="1">
        <v>22</v>
      </c>
      <c r="I2" s="1">
        <v>48</v>
      </c>
      <c r="J2" s="1">
        <v>20</v>
      </c>
      <c r="K2" s="1">
        <v>34</v>
      </c>
      <c r="L2" s="1">
        <v>26</v>
      </c>
      <c r="M2" s="1">
        <v>19</v>
      </c>
      <c r="N2" s="1">
        <v>34</v>
      </c>
      <c r="O2" s="1">
        <v>24</v>
      </c>
      <c r="P2" s="1">
        <v>23</v>
      </c>
      <c r="Q2" s="1">
        <v>27</v>
      </c>
      <c r="R2" s="1">
        <v>24</v>
      </c>
      <c r="S2" s="1">
        <v>27</v>
      </c>
      <c r="T2" s="1">
        <v>49</v>
      </c>
      <c r="U2" s="1">
        <v>24</v>
      </c>
      <c r="V2" s="1">
        <v>28</v>
      </c>
      <c r="W2"/>
    </row>
    <row r="3" spans="1:23" ht="14.65" thickTop="1" x14ac:dyDescent="0.45">
      <c r="A3" s="1">
        <v>15</v>
      </c>
      <c r="B3" s="1">
        <f>20</f>
        <v>20</v>
      </c>
      <c r="C3" s="1">
        <f>20-0.001</f>
        <v>19.998999999999999</v>
      </c>
      <c r="D3" s="1">
        <f t="array" ref="D3:D11">FREQUENCY(H1:V11,C3:C11)</f>
        <v>6</v>
      </c>
      <c r="E3" s="9">
        <f>SUM($D$3:D3)</f>
        <v>6</v>
      </c>
      <c r="F3" s="9"/>
      <c r="H3" s="1">
        <v>29</v>
      </c>
      <c r="I3" s="1">
        <v>33</v>
      </c>
      <c r="J3" s="1">
        <v>36</v>
      </c>
      <c r="K3" s="1">
        <v>24</v>
      </c>
      <c r="L3" s="1">
        <v>43</v>
      </c>
      <c r="M3" s="1">
        <v>26</v>
      </c>
      <c r="N3" s="1">
        <v>28</v>
      </c>
      <c r="O3" s="1">
        <v>26</v>
      </c>
      <c r="P3" s="1">
        <v>28</v>
      </c>
      <c r="Q3" s="1">
        <v>18</v>
      </c>
      <c r="R3" s="1">
        <v>26</v>
      </c>
      <c r="S3" s="1">
        <v>43</v>
      </c>
      <c r="T3" s="1">
        <v>21</v>
      </c>
      <c r="U3" s="1">
        <v>54</v>
      </c>
      <c r="V3" s="1">
        <v>40</v>
      </c>
      <c r="W3"/>
    </row>
    <row r="4" spans="1:23" x14ac:dyDescent="0.45">
      <c r="A4" s="1">
        <v>20</v>
      </c>
      <c r="B4" s="1">
        <f>25</f>
        <v>25</v>
      </c>
      <c r="C4" s="1">
        <f>25-0.001</f>
        <v>24.998999999999999</v>
      </c>
      <c r="D4" s="1">
        <v>15</v>
      </c>
      <c r="E4" s="9">
        <f>SUM($D$3:D4)</f>
        <v>21</v>
      </c>
      <c r="F4" s="9"/>
      <c r="H4" s="1">
        <v>32</v>
      </c>
      <c r="I4" s="1">
        <v>49</v>
      </c>
      <c r="J4" s="1">
        <v>29</v>
      </c>
      <c r="K4" s="1">
        <v>34</v>
      </c>
      <c r="L4" s="1">
        <v>29</v>
      </c>
      <c r="M4" s="1">
        <v>44</v>
      </c>
      <c r="N4" s="1">
        <v>16</v>
      </c>
      <c r="O4" s="1">
        <v>28</v>
      </c>
      <c r="P4" s="1">
        <v>27</v>
      </c>
      <c r="Q4" s="1">
        <v>28</v>
      </c>
      <c r="R4" s="1">
        <v>26</v>
      </c>
      <c r="S4" s="1">
        <v>28</v>
      </c>
      <c r="T4" s="1">
        <v>51</v>
      </c>
      <c r="U4" s="1">
        <v>27</v>
      </c>
      <c r="V4" s="1">
        <v>59</v>
      </c>
      <c r="W4"/>
    </row>
    <row r="5" spans="1:23" x14ac:dyDescent="0.45">
      <c r="A5" s="1">
        <v>25</v>
      </c>
      <c r="B5" s="1">
        <f>30</f>
        <v>30</v>
      </c>
      <c r="C5" s="1">
        <f>30-0.001</f>
        <v>29.998999999999999</v>
      </c>
      <c r="D5" s="1">
        <v>57</v>
      </c>
      <c r="E5" s="9">
        <f>SUM($D$3:D5)</f>
        <v>78</v>
      </c>
      <c r="F5" s="9"/>
      <c r="H5" s="1">
        <v>38</v>
      </c>
      <c r="I5" s="1">
        <v>23</v>
      </c>
      <c r="J5" s="1">
        <v>27</v>
      </c>
      <c r="K5" s="1">
        <v>28</v>
      </c>
      <c r="L5" s="1">
        <v>25</v>
      </c>
      <c r="M5" s="1">
        <v>32</v>
      </c>
      <c r="N5" s="1">
        <v>47</v>
      </c>
      <c r="O5" s="1">
        <v>26</v>
      </c>
      <c r="P5" s="1">
        <v>35</v>
      </c>
      <c r="Q5" s="1">
        <v>25</v>
      </c>
      <c r="R5" s="1">
        <v>28</v>
      </c>
      <c r="S5" s="1">
        <v>36</v>
      </c>
      <c r="T5" s="1">
        <v>33</v>
      </c>
      <c r="U5" s="1">
        <v>27</v>
      </c>
      <c r="V5" s="1">
        <v>25</v>
      </c>
      <c r="W5"/>
    </row>
    <row r="6" spans="1:23" x14ac:dyDescent="0.45">
      <c r="A6" s="1">
        <v>30</v>
      </c>
      <c r="B6" s="1">
        <f>35</f>
        <v>35</v>
      </c>
      <c r="C6" s="1">
        <f>35-0.001</f>
        <v>34.999000000000002</v>
      </c>
      <c r="D6" s="1">
        <v>17</v>
      </c>
      <c r="E6" s="9">
        <f>SUM($D$3:D6)</f>
        <v>95</v>
      </c>
      <c r="F6" s="9"/>
      <c r="H6" s="1">
        <v>40</v>
      </c>
      <c r="I6" s="1">
        <v>48</v>
      </c>
      <c r="J6" s="1">
        <v>29</v>
      </c>
      <c r="K6" s="1">
        <v>19</v>
      </c>
      <c r="L6" s="1">
        <v>33</v>
      </c>
      <c r="M6" s="1">
        <v>27</v>
      </c>
      <c r="N6" s="1">
        <v>26</v>
      </c>
      <c r="O6" s="1">
        <v>26</v>
      </c>
      <c r="P6" s="1">
        <v>34</v>
      </c>
      <c r="Q6" s="1">
        <v>23</v>
      </c>
      <c r="R6" s="1">
        <v>27</v>
      </c>
      <c r="S6" s="1">
        <v>26</v>
      </c>
      <c r="T6" s="1">
        <v>18</v>
      </c>
      <c r="U6" s="1">
        <v>49</v>
      </c>
      <c r="V6" s="1">
        <v>49</v>
      </c>
      <c r="W6"/>
    </row>
    <row r="7" spans="1:23" x14ac:dyDescent="0.45">
      <c r="A7" s="1">
        <v>35</v>
      </c>
      <c r="B7" s="1">
        <f>40</f>
        <v>40</v>
      </c>
      <c r="C7" s="1">
        <f>40-0.001</f>
        <v>39.999000000000002</v>
      </c>
      <c r="D7" s="1">
        <v>12</v>
      </c>
      <c r="E7" s="9">
        <f>SUM($D$3:D7)</f>
        <v>107</v>
      </c>
      <c r="F7" s="9"/>
      <c r="H7" s="1">
        <v>48</v>
      </c>
      <c r="I7" s="1">
        <v>43</v>
      </c>
      <c r="J7" s="1">
        <v>27</v>
      </c>
      <c r="K7" s="1">
        <v>45</v>
      </c>
      <c r="L7" s="1">
        <v>25</v>
      </c>
      <c r="M7" s="1">
        <v>38</v>
      </c>
      <c r="N7" s="1">
        <v>20</v>
      </c>
      <c r="O7" s="1">
        <v>25</v>
      </c>
      <c r="P7" s="1">
        <v>28</v>
      </c>
      <c r="Q7" s="1">
        <v>43</v>
      </c>
      <c r="R7" s="1">
        <v>27</v>
      </c>
      <c r="S7" s="1">
        <v>51</v>
      </c>
      <c r="T7" s="1">
        <v>48</v>
      </c>
      <c r="U7" s="1">
        <v>27</v>
      </c>
      <c r="V7" s="1">
        <v>22</v>
      </c>
      <c r="W7"/>
    </row>
    <row r="8" spans="1:23" x14ac:dyDescent="0.45">
      <c r="A8" s="1">
        <v>40</v>
      </c>
      <c r="B8" s="1">
        <f>45</f>
        <v>45</v>
      </c>
      <c r="C8" s="1">
        <f>45-0.001</f>
        <v>44.999000000000002</v>
      </c>
      <c r="D8" s="1">
        <v>14</v>
      </c>
      <c r="E8" s="9">
        <f>SUM($D$3:D8)</f>
        <v>121</v>
      </c>
      <c r="F8" s="9"/>
      <c r="H8" s="1">
        <v>51</v>
      </c>
      <c r="I8" s="1">
        <v>51</v>
      </c>
      <c r="J8" s="1">
        <v>26</v>
      </c>
      <c r="K8" s="1">
        <v>28</v>
      </c>
      <c r="L8" s="1">
        <v>24</v>
      </c>
      <c r="M8" s="1">
        <v>30</v>
      </c>
      <c r="N8" s="1">
        <v>42</v>
      </c>
      <c r="O8" s="1">
        <v>29</v>
      </c>
      <c r="P8" s="1">
        <v>27</v>
      </c>
      <c r="Q8" s="1">
        <v>25</v>
      </c>
      <c r="R8" s="1">
        <v>21</v>
      </c>
      <c r="S8" s="1">
        <v>27</v>
      </c>
      <c r="T8" s="1">
        <v>25</v>
      </c>
      <c r="U8" s="1">
        <v>60</v>
      </c>
      <c r="V8" s="1">
        <v>26</v>
      </c>
      <c r="W8"/>
    </row>
    <row r="9" spans="1:23" x14ac:dyDescent="0.45">
      <c r="A9" s="1">
        <v>45</v>
      </c>
      <c r="B9" s="1">
        <f>50</f>
        <v>50</v>
      </c>
      <c r="C9" s="1">
        <f>50-0.001</f>
        <v>49.999000000000002</v>
      </c>
      <c r="D9" s="1">
        <v>20</v>
      </c>
      <c r="E9" s="9">
        <f>SUM($D$3:D9)</f>
        <v>141</v>
      </c>
      <c r="F9" s="9"/>
      <c r="H9" s="1">
        <v>58</v>
      </c>
      <c r="I9" s="1">
        <v>22</v>
      </c>
      <c r="J9" s="1">
        <v>59</v>
      </c>
      <c r="K9" s="1">
        <v>52</v>
      </c>
      <c r="L9" s="1">
        <v>33</v>
      </c>
      <c r="M9" s="1">
        <v>31</v>
      </c>
      <c r="N9" s="1">
        <v>27</v>
      </c>
      <c r="O9" s="1">
        <v>54</v>
      </c>
      <c r="P9" s="1">
        <v>26</v>
      </c>
      <c r="Q9" s="1">
        <v>32</v>
      </c>
      <c r="R9" s="1">
        <v>51</v>
      </c>
      <c r="S9" s="1">
        <v>48</v>
      </c>
      <c r="T9" s="1">
        <v>46</v>
      </c>
      <c r="U9" s="1">
        <v>28</v>
      </c>
      <c r="V9" s="1">
        <v>37</v>
      </c>
      <c r="W9"/>
    </row>
    <row r="10" spans="1:23" x14ac:dyDescent="0.45">
      <c r="A10" s="1">
        <v>50</v>
      </c>
      <c r="B10" s="1">
        <f>55</f>
        <v>55</v>
      </c>
      <c r="C10" s="1">
        <f>55-0.001</f>
        <v>54.999000000000002</v>
      </c>
      <c r="D10" s="1">
        <v>11</v>
      </c>
      <c r="E10" s="9">
        <f>SUM($D$3:D10)</f>
        <v>152</v>
      </c>
      <c r="F10" s="9"/>
      <c r="H10" s="1">
        <v>38</v>
      </c>
      <c r="I10" s="1">
        <v>54</v>
      </c>
      <c r="J10" s="1">
        <v>44</v>
      </c>
      <c r="K10" s="1">
        <v>39</v>
      </c>
      <c r="L10" s="1">
        <v>54</v>
      </c>
      <c r="M10" s="1">
        <v>43</v>
      </c>
      <c r="N10" s="1">
        <v>38</v>
      </c>
      <c r="O10" s="1">
        <v>42</v>
      </c>
      <c r="P10" s="1">
        <v>51</v>
      </c>
      <c r="Q10" s="1">
        <v>46</v>
      </c>
      <c r="R10" s="1">
        <v>35</v>
      </c>
      <c r="S10" s="1">
        <v>41</v>
      </c>
      <c r="T10" s="1">
        <v>42</v>
      </c>
      <c r="U10" s="1">
        <v>45</v>
      </c>
      <c r="V10" s="1">
        <v>45</v>
      </c>
      <c r="W10"/>
    </row>
    <row r="11" spans="1:23" ht="14.65" thickBot="1" x14ac:dyDescent="0.5">
      <c r="A11" s="1">
        <v>55</v>
      </c>
      <c r="B11" s="1">
        <f>60</f>
        <v>60</v>
      </c>
      <c r="C11" s="1">
        <f>60+0.001</f>
        <v>60.000999999999998</v>
      </c>
      <c r="D11" s="1">
        <v>8</v>
      </c>
      <c r="E11" s="9">
        <f>SUM($D$3:D11)</f>
        <v>160</v>
      </c>
      <c r="F11" s="9"/>
      <c r="H11" s="1">
        <v>59</v>
      </c>
      <c r="I11" s="1">
        <v>49</v>
      </c>
      <c r="J11" s="1">
        <v>58</v>
      </c>
      <c r="K11" s="1">
        <v>58</v>
      </c>
      <c r="L11" s="1">
        <v>47</v>
      </c>
      <c r="M11" s="1">
        <v>59</v>
      </c>
      <c r="N11" s="1">
        <v>48</v>
      </c>
      <c r="O11" s="1">
        <v>48</v>
      </c>
      <c r="P11" s="1">
        <v>45</v>
      </c>
      <c r="Q11" s="1">
        <v>25</v>
      </c>
      <c r="W11"/>
    </row>
    <row r="12" spans="1:23" ht="15" thickTop="1" thickBot="1" x14ac:dyDescent="0.5">
      <c r="A12" s="10" t="s">
        <v>1</v>
      </c>
      <c r="B12" s="10"/>
      <c r="C12" s="10"/>
      <c r="D12" s="2">
        <f>SUM(D3:D11)</f>
        <v>160</v>
      </c>
      <c r="E12" s="9"/>
      <c r="F12" s="9"/>
    </row>
    <row r="13" spans="1:23" ht="14.65" thickTop="1" x14ac:dyDescent="0.45"/>
    <row r="14" spans="1:23" x14ac:dyDescent="0.45">
      <c r="A14" s="1" t="s">
        <v>39</v>
      </c>
      <c r="B14" s="1">
        <v>60</v>
      </c>
    </row>
    <row r="15" spans="1:23" x14ac:dyDescent="0.45">
      <c r="A15" s="1" t="s">
        <v>40</v>
      </c>
      <c r="B15" s="1">
        <v>15</v>
      </c>
    </row>
    <row r="17" spans="1:5" x14ac:dyDescent="0.45">
      <c r="A17" s="1" t="s">
        <v>41</v>
      </c>
      <c r="B17" s="1">
        <v>160</v>
      </c>
    </row>
    <row r="19" spans="1:5" x14ac:dyDescent="0.45">
      <c r="A19" s="1" t="s">
        <v>42</v>
      </c>
      <c r="B19" s="1">
        <f>1+1.4*LN(B17)</f>
        <v>8.1052433413273555</v>
      </c>
    </row>
    <row r="20" spans="1:5" x14ac:dyDescent="0.45">
      <c r="B20" s="1">
        <v>9</v>
      </c>
    </row>
    <row r="22" spans="1:5" x14ac:dyDescent="0.45">
      <c r="A22" s="46" t="s">
        <v>43</v>
      </c>
      <c r="B22" s="1">
        <f>(B14-B15)/B20</f>
        <v>5</v>
      </c>
    </row>
    <row r="23" spans="1:5" x14ac:dyDescent="0.45">
      <c r="E23" s="40"/>
    </row>
  </sheetData>
  <mergeCells count="14">
    <mergeCell ref="D1:D2"/>
    <mergeCell ref="A1:C2"/>
    <mergeCell ref="A12:C12"/>
    <mergeCell ref="E12:F12"/>
    <mergeCell ref="E1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  <ignoredErrors>
    <ignoredError sqref="E3:F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B7A5-DDBE-472C-A34E-02949D5D9B9E}">
  <dimension ref="A1:O59"/>
  <sheetViews>
    <sheetView topLeftCell="A28" workbookViewId="0">
      <selection activeCell="E35" sqref="E35"/>
    </sheetView>
  </sheetViews>
  <sheetFormatPr defaultRowHeight="14.25" x14ac:dyDescent="0.45"/>
  <cols>
    <col min="1" max="1" width="9.3984375" style="1" customWidth="1"/>
    <col min="2" max="16384" width="9.06640625" style="1"/>
  </cols>
  <sheetData>
    <row r="1" spans="1:15" s="19" customFormat="1" x14ac:dyDescent="0.45">
      <c r="A1" s="19" t="s">
        <v>2</v>
      </c>
    </row>
    <row r="2" spans="1:15" ht="14.65" thickBot="1" x14ac:dyDescent="0.5"/>
    <row r="3" spans="1:15" ht="15" thickTop="1" thickBot="1" x14ac:dyDescent="0.5">
      <c r="A3" s="2" t="s">
        <v>14</v>
      </c>
      <c r="B3" s="2">
        <f>SUM(C6:C14)/SUM(Данные!D3:D11)</f>
        <v>34.96875</v>
      </c>
      <c r="G3" s="2" t="s">
        <v>5</v>
      </c>
      <c r="H3" s="2">
        <f>25+5*((Данные!D5-Данные!D4)/((Данные!D5-Данные!D4)+(Данные!D5-Данные!D6)))</f>
        <v>27.560975609756099</v>
      </c>
      <c r="M3" s="2" t="s">
        <v>8</v>
      </c>
      <c r="N3" s="2">
        <f>30+5*((0.5*SUM(Данные!D3:D11)-Данные!E5)/Данные!D6)</f>
        <v>30.588235294117649</v>
      </c>
    </row>
    <row r="4" spans="1:15" ht="14.65" thickTop="1" x14ac:dyDescent="0.45"/>
    <row r="5" spans="1:15" x14ac:dyDescent="0.45">
      <c r="A5" s="3" t="s">
        <v>3</v>
      </c>
      <c r="C5" s="3" t="s">
        <v>4</v>
      </c>
      <c r="G5" s="18" t="s">
        <v>6</v>
      </c>
      <c r="H5" s="18"/>
      <c r="I5" s="1" t="s">
        <v>7</v>
      </c>
      <c r="M5" s="18" t="s">
        <v>9</v>
      </c>
      <c r="N5" s="18"/>
      <c r="O5" s="1" t="s">
        <v>10</v>
      </c>
    </row>
    <row r="6" spans="1:15" x14ac:dyDescent="0.45">
      <c r="A6" s="1">
        <f>(Данные!A3+Данные!B3)/2</f>
        <v>17.5</v>
      </c>
      <c r="C6" s="1">
        <f>A6*Данные!D3</f>
        <v>105</v>
      </c>
    </row>
    <row r="7" spans="1:15" x14ac:dyDescent="0.45">
      <c r="A7" s="1">
        <f>(Данные!A4+Данные!B4)/2</f>
        <v>22.5</v>
      </c>
      <c r="C7" s="1">
        <f>A7*Данные!D4</f>
        <v>337.5</v>
      </c>
    </row>
    <row r="8" spans="1:15" x14ac:dyDescent="0.45">
      <c r="A8" s="1">
        <f>(Данные!A5+Данные!B5)/2</f>
        <v>27.5</v>
      </c>
      <c r="C8" s="1">
        <f>A8*Данные!D5</f>
        <v>1567.5</v>
      </c>
    </row>
    <row r="9" spans="1:15" x14ac:dyDescent="0.45">
      <c r="A9" s="1">
        <f>(Данные!A6+Данные!B6)/2</f>
        <v>32.5</v>
      </c>
      <c r="C9" s="1">
        <f>A9*Данные!D6</f>
        <v>552.5</v>
      </c>
    </row>
    <row r="10" spans="1:15" x14ac:dyDescent="0.45">
      <c r="A10" s="1">
        <f>(Данные!A7+Данные!B7)/2</f>
        <v>37.5</v>
      </c>
      <c r="C10" s="1">
        <f>A10*Данные!D7</f>
        <v>450</v>
      </c>
    </row>
    <row r="11" spans="1:15" x14ac:dyDescent="0.45">
      <c r="A11" s="1">
        <f>(Данные!A8+Данные!B8)/2</f>
        <v>42.5</v>
      </c>
      <c r="C11" s="1">
        <f>A11*Данные!D8</f>
        <v>595</v>
      </c>
    </row>
    <row r="12" spans="1:15" x14ac:dyDescent="0.45">
      <c r="A12" s="1">
        <f>(Данные!A9+Данные!B9)/2</f>
        <v>47.5</v>
      </c>
      <c r="C12" s="1">
        <f>A12*Данные!D9</f>
        <v>950</v>
      </c>
    </row>
    <row r="13" spans="1:15" x14ac:dyDescent="0.45">
      <c r="A13" s="1">
        <f>(Данные!A10+Данные!B10)/2</f>
        <v>52.5</v>
      </c>
      <c r="C13" s="1">
        <f>A13*Данные!D10</f>
        <v>577.5</v>
      </c>
    </row>
    <row r="14" spans="1:15" x14ac:dyDescent="0.45">
      <c r="A14" s="1">
        <f>(Данные!A11+Данные!B11)/2</f>
        <v>57.5</v>
      </c>
      <c r="C14" s="1">
        <f>A14*Данные!D11</f>
        <v>460</v>
      </c>
    </row>
    <row r="16" spans="1:15" s="17" customFormat="1" x14ac:dyDescent="0.45">
      <c r="A16" s="17" t="s">
        <v>12</v>
      </c>
    </row>
    <row r="17" spans="1:12" ht="14.65" thickBot="1" x14ac:dyDescent="0.5"/>
    <row r="18" spans="1:12" ht="15" thickTop="1" thickBot="1" x14ac:dyDescent="0.5">
      <c r="A18" s="2" t="s">
        <v>13</v>
      </c>
      <c r="B18" s="2">
        <f>SUM(A21:B29)/SUM(Данные!D3:D11)</f>
        <v>118.1240234375</v>
      </c>
      <c r="E18" s="11" t="s">
        <v>25</v>
      </c>
      <c r="F18" s="11"/>
      <c r="G18" s="2">
        <f>SQRT(B18)</f>
        <v>10.868487633406039</v>
      </c>
      <c r="J18" s="11" t="s">
        <v>15</v>
      </c>
      <c r="K18" s="11"/>
      <c r="L18" s="4">
        <f>G18/B3</f>
        <v>0.31080572320732192</v>
      </c>
    </row>
    <row r="19" spans="1:12" ht="14.65" thickTop="1" x14ac:dyDescent="0.45"/>
    <row r="20" spans="1:12" x14ac:dyDescent="0.45">
      <c r="A20" s="18" t="s">
        <v>18</v>
      </c>
      <c r="B20" s="18"/>
    </row>
    <row r="21" spans="1:12" x14ac:dyDescent="0.45">
      <c r="A21" s="9">
        <f>Данные!D3*(A6-$B$3)^2</f>
        <v>1830.943359375</v>
      </c>
      <c r="B21" s="9"/>
    </row>
    <row r="22" spans="1:12" x14ac:dyDescent="0.45">
      <c r="A22" s="9">
        <f>Данные!D4*(A7-$B$3)^2</f>
        <v>2332.0458984375</v>
      </c>
      <c r="B22" s="9"/>
    </row>
    <row r="23" spans="1:12" x14ac:dyDescent="0.45">
      <c r="A23" s="9">
        <f>Данные!D5*(A8-$B$3)^2</f>
        <v>3179.5869140625</v>
      </c>
      <c r="B23" s="9"/>
    </row>
    <row r="24" spans="1:12" x14ac:dyDescent="0.45">
      <c r="A24" s="9">
        <f>Данные!D6*(A9-$B$3)^2</f>
        <v>103.6103515625</v>
      </c>
      <c r="B24" s="9"/>
    </row>
    <row r="25" spans="1:12" x14ac:dyDescent="0.45">
      <c r="A25" s="9">
        <f>Данные!D7*(A10-$B$3)^2</f>
        <v>76.88671875</v>
      </c>
      <c r="B25" s="9"/>
    </row>
    <row r="26" spans="1:12" x14ac:dyDescent="0.45">
      <c r="A26" s="9">
        <f>Данные!D8*(A11-$B$3)^2</f>
        <v>794.076171875</v>
      </c>
      <c r="B26" s="9"/>
    </row>
    <row r="27" spans="1:12" x14ac:dyDescent="0.45">
      <c r="A27" s="9">
        <f>Данные!D9*(A12-$B$3)^2</f>
        <v>3140.64453125</v>
      </c>
      <c r="B27" s="9"/>
    </row>
    <row r="28" spans="1:12" x14ac:dyDescent="0.45">
      <c r="A28" s="9">
        <f>Данные!D10*(A13-$B$3)^2</f>
        <v>3380.7919921875</v>
      </c>
      <c r="B28" s="9"/>
    </row>
    <row r="29" spans="1:12" x14ac:dyDescent="0.45">
      <c r="A29" s="9">
        <f>Данные!D11*(A14-$B$3)^2</f>
        <v>4061.2578125</v>
      </c>
      <c r="B29" s="9"/>
    </row>
    <row r="31" spans="1:12" s="17" customFormat="1" x14ac:dyDescent="0.45">
      <c r="A31" s="17" t="s">
        <v>17</v>
      </c>
    </row>
    <row r="33" spans="1:5" ht="15" thickTop="1" thickBot="1" x14ac:dyDescent="0.5">
      <c r="A33" s="11" t="s">
        <v>16</v>
      </c>
      <c r="B33" s="11"/>
      <c r="C33" s="2">
        <f>E35/G18^3</f>
        <v>0.54154687343345742</v>
      </c>
    </row>
    <row r="34" spans="1:5" ht="14.65" thickTop="1" x14ac:dyDescent="0.45"/>
    <row r="35" spans="1:5" x14ac:dyDescent="0.45">
      <c r="A35" s="18" t="s">
        <v>19</v>
      </c>
      <c r="B35" s="18"/>
      <c r="D35" s="3" t="s">
        <v>20</v>
      </c>
      <c r="E35" s="1">
        <f>SUM(A36:B44)/Данные!D12</f>
        <v>695.25384521484375</v>
      </c>
    </row>
    <row r="36" spans="1:5" x14ac:dyDescent="0.45">
      <c r="A36" s="9">
        <f>Данные!D3*(A6-$B$3)^3</f>
        <v>-31984.291809082031</v>
      </c>
      <c r="B36" s="9"/>
    </row>
    <row r="37" spans="1:5" x14ac:dyDescent="0.45">
      <c r="A37" s="9">
        <f>Данные!D4*(A7-$B$3)^3</f>
        <v>-29077.697296142578</v>
      </c>
      <c r="B37" s="9"/>
    </row>
    <row r="38" spans="1:5" x14ac:dyDescent="0.45">
      <c r="A38" s="9">
        <f>Данные!D5*(A8-$B$3)^3</f>
        <v>-23747.539764404297</v>
      </c>
      <c r="B38" s="9"/>
    </row>
    <row r="39" spans="1:5" x14ac:dyDescent="0.45">
      <c r="A39" s="9">
        <f>Данные!D6*(A9-$B$3)^3</f>
        <v>-255.78805541992188</v>
      </c>
      <c r="B39" s="9"/>
    </row>
    <row r="40" spans="1:5" x14ac:dyDescent="0.45">
      <c r="A40" s="9">
        <f>Данные!D7*(A10-$B$3)^3</f>
        <v>194.6195068359375</v>
      </c>
      <c r="B40" s="9"/>
    </row>
    <row r="41" spans="1:5" x14ac:dyDescent="0.45">
      <c r="A41" s="9">
        <f>Данные!D8*(A11-$B$3)^3</f>
        <v>5980.3861694335938</v>
      </c>
      <c r="B41" s="9"/>
    </row>
    <row r="42" spans="1:5" x14ac:dyDescent="0.45">
      <c r="A42" s="9">
        <f>Данные!D9*(A12-$B$3)^3</f>
        <v>39356.201782226563</v>
      </c>
      <c r="B42" s="9"/>
    </row>
    <row r="43" spans="1:5" x14ac:dyDescent="0.45">
      <c r="A43" s="9">
        <f>Данные!D10*(A13-$B$3)^3</f>
        <v>59269.509613037109</v>
      </c>
      <c r="B43" s="9"/>
    </row>
    <row r="44" spans="1:5" x14ac:dyDescent="0.45">
      <c r="A44" s="9">
        <f>Данные!D11*(A14-$B$3)^3</f>
        <v>91505.215087890625</v>
      </c>
      <c r="B44" s="9"/>
    </row>
    <row r="46" spans="1:5" s="17" customFormat="1" x14ac:dyDescent="0.45">
      <c r="A46" s="17" t="s">
        <v>21</v>
      </c>
    </row>
    <row r="47" spans="1:5" ht="14.65" thickBot="1" x14ac:dyDescent="0.5"/>
    <row r="48" spans="1:5" ht="15" thickTop="1" thickBot="1" x14ac:dyDescent="0.5">
      <c r="A48" s="11" t="s">
        <v>22</v>
      </c>
      <c r="B48" s="11"/>
      <c r="C48" s="2">
        <f>(E50/G18^4)-3</f>
        <v>-0.87738408688118197</v>
      </c>
    </row>
    <row r="49" spans="1:5" ht="14.65" thickTop="1" x14ac:dyDescent="0.45"/>
    <row r="50" spans="1:5" x14ac:dyDescent="0.45">
      <c r="A50" s="18" t="s">
        <v>23</v>
      </c>
      <c r="B50" s="18"/>
      <c r="D50" s="3" t="s">
        <v>24</v>
      </c>
      <c r="E50" s="1">
        <f>SUM(A51:B59)/Данные!D12</f>
        <v>29617.464596748352</v>
      </c>
    </row>
    <row r="51" spans="1:5" x14ac:dyDescent="0.45">
      <c r="A51" s="9">
        <f>Данные!D3*(A6-$B$3)^4</f>
        <v>558725.59753990173</v>
      </c>
      <c r="B51" s="9"/>
    </row>
    <row r="52" spans="1:5" x14ac:dyDescent="0.45">
      <c r="A52" s="9">
        <f>Данные!D4*(A7-$B$3)^4</f>
        <v>362562.53816127777</v>
      </c>
      <c r="B52" s="9"/>
    </row>
    <row r="53" spans="1:5" x14ac:dyDescent="0.45">
      <c r="A53" s="9">
        <f>Данные!D5*(A8-$B$3)^4</f>
        <v>177364.43761539459</v>
      </c>
      <c r="B53" s="9"/>
    </row>
    <row r="54" spans="1:5" x14ac:dyDescent="0.45">
      <c r="A54" s="9">
        <f>Данные!D6*(A9-$B$3)^4</f>
        <v>631.47676181793213</v>
      </c>
      <c r="B54" s="9"/>
    </row>
    <row r="55" spans="1:5" x14ac:dyDescent="0.45">
      <c r="A55" s="9">
        <f>Данные!D7*(A10-$B$3)^4</f>
        <v>492.6306266784668</v>
      </c>
      <c r="B55" s="9"/>
    </row>
    <row r="56" spans="1:5" x14ac:dyDescent="0.45">
      <c r="A56" s="9">
        <f>Данные!D8*(A11-$B$3)^4</f>
        <v>45039.783338546753</v>
      </c>
      <c r="B56" s="9"/>
    </row>
    <row r="57" spans="1:5" x14ac:dyDescent="0.45">
      <c r="A57" s="9">
        <f>Данные!D9*(A12-$B$3)^4</f>
        <v>493182.40358352661</v>
      </c>
      <c r="B57" s="9"/>
    </row>
    <row r="58" spans="1:5" x14ac:dyDescent="0.45">
      <c r="A58" s="9">
        <f>Данные!D10*(A13-$B$3)^4</f>
        <v>1039068.5904035568</v>
      </c>
      <c r="B58" s="9"/>
    </row>
    <row r="59" spans="1:5" x14ac:dyDescent="0.45">
      <c r="A59" s="9">
        <f>Данные!D11*(A14-$B$3)^4</f>
        <v>2061726.8774490356</v>
      </c>
      <c r="B59" s="9"/>
    </row>
  </sheetData>
  <mergeCells count="40">
    <mergeCell ref="A24:B24"/>
    <mergeCell ref="A25:B25"/>
    <mergeCell ref="A26:B26"/>
    <mergeCell ref="A1:XFD1"/>
    <mergeCell ref="G5:H5"/>
    <mergeCell ref="M5:N5"/>
    <mergeCell ref="A16:XFD16"/>
    <mergeCell ref="A20:B20"/>
    <mergeCell ref="E18:F18"/>
    <mergeCell ref="J18:K18"/>
    <mergeCell ref="A21:B21"/>
    <mergeCell ref="A22:B22"/>
    <mergeCell ref="A23:B23"/>
    <mergeCell ref="A37:B37"/>
    <mergeCell ref="A27:B27"/>
    <mergeCell ref="A28:B28"/>
    <mergeCell ref="A29:B29"/>
    <mergeCell ref="A31:XFD31"/>
    <mergeCell ref="A33:B33"/>
    <mergeCell ref="A35:B35"/>
    <mergeCell ref="A36:B36"/>
    <mergeCell ref="A38:B38"/>
    <mergeCell ref="A39:B39"/>
    <mergeCell ref="A40:B40"/>
    <mergeCell ref="A41:B41"/>
    <mergeCell ref="A42:B42"/>
    <mergeCell ref="A43:B43"/>
    <mergeCell ref="A44:B44"/>
    <mergeCell ref="A46:XFD46"/>
    <mergeCell ref="A48:B48"/>
    <mergeCell ref="A50:B50"/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AC48-EE2A-4381-832E-7EE4F41E984B}">
  <dimension ref="A1:R33"/>
  <sheetViews>
    <sheetView tabSelected="1" zoomScale="95" workbookViewId="0">
      <selection activeCell="D18" sqref="D18:E18"/>
    </sheetView>
  </sheetViews>
  <sheetFormatPr defaultRowHeight="14.25" x14ac:dyDescent="0.45"/>
  <cols>
    <col min="1" max="1" width="9.06640625" style="6"/>
    <col min="2" max="2" width="5.796875" style="6" customWidth="1"/>
    <col min="3" max="3" width="9.06640625" style="6"/>
    <col min="4" max="4" width="10.796875" style="6" customWidth="1"/>
    <col min="5" max="5" width="10.86328125" style="6" customWidth="1"/>
    <col min="6" max="16384" width="9.06640625" style="6"/>
  </cols>
  <sheetData>
    <row r="1" spans="1:18" ht="15" customHeight="1" thickTop="1" thickBot="1" x14ac:dyDescent="0.5">
      <c r="A1" s="31" t="s">
        <v>44</v>
      </c>
      <c r="B1" s="32"/>
      <c r="C1" s="33"/>
      <c r="D1" s="31" t="s">
        <v>45</v>
      </c>
      <c r="E1" s="33"/>
      <c r="F1" s="27" t="s">
        <v>26</v>
      </c>
      <c r="G1" s="27"/>
      <c r="H1" s="23"/>
      <c r="I1" s="23"/>
      <c r="J1" s="23"/>
      <c r="K1" s="23"/>
      <c r="L1" s="23"/>
      <c r="M1" s="23"/>
      <c r="N1" s="23"/>
      <c r="O1" s="5"/>
      <c r="P1" s="5"/>
      <c r="Q1" s="5"/>
      <c r="R1" s="5"/>
    </row>
    <row r="2" spans="1:18" ht="15" thickTop="1" thickBot="1" x14ac:dyDescent="0.5">
      <c r="A2" s="34"/>
      <c r="B2" s="35"/>
      <c r="C2" s="36"/>
      <c r="D2" s="34"/>
      <c r="E2" s="36"/>
      <c r="F2" s="27"/>
      <c r="G2" s="27"/>
      <c r="H2" s="23"/>
      <c r="I2" s="23"/>
      <c r="J2" s="23"/>
      <c r="K2" s="23"/>
      <c r="L2" s="23"/>
      <c r="M2" s="23"/>
      <c r="N2" s="23"/>
      <c r="O2" s="5"/>
      <c r="P2" s="5"/>
      <c r="Q2" s="5"/>
      <c r="R2" s="5"/>
    </row>
    <row r="3" spans="1:18" ht="15" thickTop="1" thickBot="1" x14ac:dyDescent="0.5">
      <c r="A3" s="37"/>
      <c r="B3" s="38"/>
      <c r="C3" s="39"/>
      <c r="D3" s="37"/>
      <c r="E3" s="39"/>
      <c r="F3" s="27"/>
      <c r="G3" s="27"/>
      <c r="H3" s="23"/>
      <c r="I3" s="23"/>
      <c r="J3" s="23"/>
      <c r="K3" s="23"/>
      <c r="L3" s="23"/>
      <c r="M3" s="23"/>
      <c r="N3" s="23"/>
      <c r="O3" s="5"/>
      <c r="P3" s="5"/>
      <c r="Q3" s="5"/>
      <c r="R3" s="5"/>
    </row>
    <row r="4" spans="1:18" ht="14.65" thickTop="1" x14ac:dyDescent="0.45">
      <c r="A4" s="6">
        <v>15</v>
      </c>
      <c r="B4" s="6" t="s">
        <v>0</v>
      </c>
      <c r="C4" s="6">
        <v>20</v>
      </c>
      <c r="D4" s="44">
        <v>6</v>
      </c>
      <c r="E4" s="44"/>
      <c r="F4" s="22">
        <f t="shared" ref="F4:F12" si="0">A4+(C4-A4)/2</f>
        <v>17.5</v>
      </c>
      <c r="G4" s="22"/>
      <c r="H4" s="26">
        <f>(F4-'Числ характер распред'!$B$3)/('Числ характер распред'!$G$18)</f>
        <v>-1.6072843425157881</v>
      </c>
      <c r="I4" s="26"/>
      <c r="J4" s="28">
        <v>0.10920000000000001</v>
      </c>
      <c r="K4" s="28"/>
      <c r="L4" s="24">
        <f>J4*($D$13*5)/'Числ характер распред'!$G$18</f>
        <v>8.0379168608045379</v>
      </c>
      <c r="M4" s="24"/>
      <c r="N4" s="6">
        <v>8</v>
      </c>
    </row>
    <row r="5" spans="1:18" x14ac:dyDescent="0.45">
      <c r="A5" s="6">
        <v>20</v>
      </c>
      <c r="B5" s="6" t="s">
        <v>0</v>
      </c>
      <c r="C5" s="6">
        <v>25</v>
      </c>
      <c r="D5" s="9">
        <v>15</v>
      </c>
      <c r="E5" s="9"/>
      <c r="F5" s="22">
        <f t="shared" si="0"/>
        <v>22.5</v>
      </c>
      <c r="G5" s="22"/>
      <c r="H5" s="26">
        <f>(F5-'Числ характер распред'!$B$3)/('Числ характер распред'!$G$18)</f>
        <v>-1.1472387346400708</v>
      </c>
      <c r="I5" s="26"/>
      <c r="J5" s="28">
        <v>0.2059</v>
      </c>
      <c r="K5" s="28"/>
      <c r="L5" s="24">
        <f>J5*($D$13*5)/'Числ характер распред'!$G$18</f>
        <v>15.155742505857638</v>
      </c>
      <c r="M5" s="24"/>
      <c r="N5" s="6">
        <v>15</v>
      </c>
    </row>
    <row r="6" spans="1:18" x14ac:dyDescent="0.45">
      <c r="A6" s="6">
        <v>25</v>
      </c>
      <c r="B6" s="6" t="s">
        <v>0</v>
      </c>
      <c r="C6" s="6">
        <v>30</v>
      </c>
      <c r="D6" s="9">
        <v>57</v>
      </c>
      <c r="E6" s="9"/>
      <c r="F6" s="22">
        <f t="shared" si="0"/>
        <v>27.5</v>
      </c>
      <c r="G6" s="22"/>
      <c r="H6" s="26">
        <f>(F6-'Числ характер распред'!$B$3)/('Числ характер распред'!$G$18)</f>
        <v>-0.68719312676435307</v>
      </c>
      <c r="I6" s="26"/>
      <c r="J6" s="28">
        <v>0.31140000000000001</v>
      </c>
      <c r="K6" s="28"/>
      <c r="L6" s="24">
        <f>J6*($D$13*5)/'Числ характер распред'!$G$18</f>
        <v>22.921312366799754</v>
      </c>
      <c r="M6" s="24"/>
      <c r="N6" s="6">
        <v>23</v>
      </c>
    </row>
    <row r="7" spans="1:18" x14ac:dyDescent="0.45">
      <c r="A7" s="6">
        <v>30</v>
      </c>
      <c r="B7" s="6" t="s">
        <v>0</v>
      </c>
      <c r="C7" s="6">
        <v>35</v>
      </c>
      <c r="D7" s="9">
        <v>17</v>
      </c>
      <c r="E7" s="9"/>
      <c r="F7" s="22">
        <f t="shared" si="0"/>
        <v>32.5</v>
      </c>
      <c r="G7" s="22"/>
      <c r="H7" s="26">
        <f>(F7-'Числ характер распред'!$B$3)/('Числ характер распред'!$G$18)</f>
        <v>-0.22714751888863555</v>
      </c>
      <c r="I7" s="26"/>
      <c r="J7" s="28">
        <v>0.38850000000000001</v>
      </c>
      <c r="K7" s="28"/>
      <c r="L7" s="24">
        <f>J7*($D$13*5)/'Числ характер распред'!$G$18</f>
        <v>28.596434985554605</v>
      </c>
      <c r="M7" s="24"/>
      <c r="N7" s="6">
        <v>29</v>
      </c>
    </row>
    <row r="8" spans="1:18" x14ac:dyDescent="0.45">
      <c r="A8" s="6">
        <v>35</v>
      </c>
      <c r="B8" s="6" t="s">
        <v>0</v>
      </c>
      <c r="C8" s="6">
        <v>40</v>
      </c>
      <c r="D8" s="9">
        <v>12</v>
      </c>
      <c r="E8" s="9"/>
      <c r="F8" s="22">
        <f t="shared" si="0"/>
        <v>37.5</v>
      </c>
      <c r="G8" s="22"/>
      <c r="H8" s="26">
        <f>(F8-'Числ характер распред'!$B$3)/('Числ характер распред'!$G$18)</f>
        <v>0.232898088987082</v>
      </c>
      <c r="I8" s="26"/>
      <c r="J8" s="28">
        <v>0.38850000000000001</v>
      </c>
      <c r="K8" s="28"/>
      <c r="L8" s="24">
        <f>J8*($D$13*5)/'Числ характер распред'!$G$18</f>
        <v>28.596434985554605</v>
      </c>
      <c r="M8" s="24"/>
      <c r="N8" s="6">
        <v>29</v>
      </c>
    </row>
    <row r="9" spans="1:18" x14ac:dyDescent="0.45">
      <c r="A9" s="6">
        <v>40</v>
      </c>
      <c r="B9" s="6" t="s">
        <v>0</v>
      </c>
      <c r="C9" s="6">
        <v>45</v>
      </c>
      <c r="D9" s="9">
        <v>14</v>
      </c>
      <c r="E9" s="9"/>
      <c r="F9" s="22">
        <f t="shared" si="0"/>
        <v>42.5</v>
      </c>
      <c r="G9" s="22"/>
      <c r="H9" s="26">
        <f>(F9-'Числ характер распред'!$B$3)/('Числ характер распред'!$G$18)</f>
        <v>0.69294369686279955</v>
      </c>
      <c r="I9" s="26"/>
      <c r="J9" s="28">
        <v>0.31140000000000001</v>
      </c>
      <c r="K9" s="28"/>
      <c r="L9" s="24">
        <f>J9*($D$13*5)/'Числ характер распред'!$G$18</f>
        <v>22.921312366799754</v>
      </c>
      <c r="M9" s="24"/>
      <c r="N9" s="6">
        <v>23</v>
      </c>
    </row>
    <row r="10" spans="1:18" x14ac:dyDescent="0.45">
      <c r="A10" s="6">
        <v>45</v>
      </c>
      <c r="B10" s="6" t="s">
        <v>0</v>
      </c>
      <c r="C10" s="6">
        <v>50</v>
      </c>
      <c r="D10" s="9">
        <v>20</v>
      </c>
      <c r="E10" s="9"/>
      <c r="F10" s="22">
        <f t="shared" si="0"/>
        <v>47.5</v>
      </c>
      <c r="G10" s="22"/>
      <c r="H10" s="26">
        <f>(F10-'Числ характер распред'!$B$3)/('Числ характер распред'!$G$18)</f>
        <v>1.1529893047385171</v>
      </c>
      <c r="I10" s="26"/>
      <c r="J10" s="28">
        <v>0.2059</v>
      </c>
      <c r="K10" s="28"/>
      <c r="L10" s="24">
        <f>J10*($D$13*5)/'Числ характер распред'!$G$18</f>
        <v>15.155742505857638</v>
      </c>
      <c r="M10" s="24"/>
      <c r="N10" s="6">
        <v>15</v>
      </c>
    </row>
    <row r="11" spans="1:18" x14ac:dyDescent="0.45">
      <c r="A11" s="6">
        <v>50</v>
      </c>
      <c r="B11" s="6" t="s">
        <v>0</v>
      </c>
      <c r="C11" s="6">
        <v>55</v>
      </c>
      <c r="D11" s="9">
        <v>11</v>
      </c>
      <c r="E11" s="9"/>
      <c r="F11" s="22">
        <f t="shared" si="0"/>
        <v>52.5</v>
      </c>
      <c r="G11" s="22"/>
      <c r="H11" s="26">
        <f>(F11-'Числ характер распред'!$B$3)/('Числ характер распред'!$G$18)</f>
        <v>1.6130349126142347</v>
      </c>
      <c r="I11" s="26"/>
      <c r="J11" s="28">
        <v>0.10920000000000001</v>
      </c>
      <c r="K11" s="28"/>
      <c r="L11" s="24">
        <f>J11*($D$13*5)/'Числ характер распред'!$G$18</f>
        <v>8.0379168608045379</v>
      </c>
      <c r="M11" s="24"/>
      <c r="N11" s="6">
        <v>8</v>
      </c>
    </row>
    <row r="12" spans="1:18" ht="14.65" thickBot="1" x14ac:dyDescent="0.5">
      <c r="A12" s="6">
        <v>55</v>
      </c>
      <c r="B12" s="6" t="s">
        <v>0</v>
      </c>
      <c r="C12" s="6">
        <v>60</v>
      </c>
      <c r="D12" s="45">
        <v>8</v>
      </c>
      <c r="E12" s="45"/>
      <c r="F12" s="22">
        <f t="shared" si="0"/>
        <v>57.5</v>
      </c>
      <c r="G12" s="22"/>
      <c r="H12" s="26">
        <f>(F12-'Числ характер распред'!$B$3)/('Числ характер распред'!$G$18)</f>
        <v>2.0730805204899521</v>
      </c>
      <c r="I12" s="26"/>
      <c r="J12" s="28">
        <v>4.6800000000000001E-2</v>
      </c>
      <c r="K12" s="28"/>
      <c r="L12" s="24">
        <f>J12*($D$13*5)/'Числ характер распред'!$G$18</f>
        <v>3.4448215117733727</v>
      </c>
      <c r="M12" s="24"/>
      <c r="N12" s="6">
        <v>3</v>
      </c>
    </row>
    <row r="13" spans="1:18" ht="15" thickTop="1" thickBot="1" x14ac:dyDescent="0.5">
      <c r="A13" s="23" t="s">
        <v>1</v>
      </c>
      <c r="B13" s="23"/>
      <c r="C13" s="23"/>
      <c r="D13" s="23">
        <f>SUM(D4:E12)</f>
        <v>160</v>
      </c>
      <c r="E13" s="23"/>
      <c r="F13" s="23" t="s">
        <v>0</v>
      </c>
      <c r="G13" s="23"/>
      <c r="H13" s="23" t="s">
        <v>0</v>
      </c>
      <c r="I13" s="23"/>
      <c r="J13" s="23" t="s">
        <v>0</v>
      </c>
      <c r="K13" s="23"/>
      <c r="L13" s="25">
        <f>SUM(L4:M12)</f>
        <v>152.86763494980644</v>
      </c>
      <c r="M13" s="23"/>
      <c r="N13" s="7">
        <f>SUM(N4:N12)</f>
        <v>153</v>
      </c>
    </row>
    <row r="14" spans="1:18" ht="15" thickTop="1" thickBot="1" x14ac:dyDescent="0.5"/>
    <row r="15" spans="1:18" ht="15" thickTop="1" thickBot="1" x14ac:dyDescent="0.5">
      <c r="A15" s="27" t="s">
        <v>44</v>
      </c>
      <c r="B15" s="27"/>
      <c r="C15" s="27"/>
      <c r="D15" s="27" t="s">
        <v>46</v>
      </c>
      <c r="E15" s="27"/>
      <c r="F15" s="27" t="s">
        <v>27</v>
      </c>
      <c r="G15" s="27"/>
      <c r="H15" s="27" t="s">
        <v>28</v>
      </c>
      <c r="I15" s="27"/>
      <c r="J15" s="27" t="s">
        <v>29</v>
      </c>
      <c r="K15" s="27"/>
      <c r="L15" s="11"/>
      <c r="M15" s="11"/>
    </row>
    <row r="16" spans="1:18" ht="15" thickTop="1" thickBot="1" x14ac:dyDescent="0.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11"/>
      <c r="M16" s="11"/>
    </row>
    <row r="17" spans="1:13" ht="15" thickTop="1" thickBot="1" x14ac:dyDescent="0.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11"/>
      <c r="M17" s="11"/>
    </row>
    <row r="18" spans="1:13" ht="15" thickTop="1" thickBot="1" x14ac:dyDescent="0.5">
      <c r="A18" s="27"/>
      <c r="B18" s="27"/>
      <c r="C18" s="27"/>
      <c r="D18" s="11" t="s">
        <v>30</v>
      </c>
      <c r="E18" s="11"/>
      <c r="F18" s="27" t="s">
        <v>31</v>
      </c>
      <c r="G18" s="27"/>
      <c r="H18" s="27" t="s">
        <v>32</v>
      </c>
      <c r="I18" s="27"/>
      <c r="J18" s="27" t="s">
        <v>33</v>
      </c>
      <c r="K18" s="27"/>
      <c r="L18" s="11"/>
      <c r="M18" s="11"/>
    </row>
    <row r="19" spans="1:13" ht="14.65" thickTop="1" x14ac:dyDescent="0.45">
      <c r="A19" s="6">
        <v>15</v>
      </c>
      <c r="B19" s="6" t="s">
        <v>0</v>
      </c>
      <c r="C19" s="6">
        <v>20</v>
      </c>
      <c r="D19" s="44">
        <v>6</v>
      </c>
      <c r="E19" s="44"/>
      <c r="F19" s="29">
        <v>8</v>
      </c>
      <c r="G19" s="29"/>
      <c r="H19" s="22">
        <f>SUM($D$19:D19)</f>
        <v>6</v>
      </c>
      <c r="I19" s="22"/>
      <c r="J19" s="22">
        <f>SUM($F$19:F19)</f>
        <v>8</v>
      </c>
      <c r="K19" s="22"/>
      <c r="L19" s="22">
        <f t="shared" ref="L19:L27" si="1">ABS(H19-J19)</f>
        <v>2</v>
      </c>
      <c r="M19" s="22"/>
    </row>
    <row r="20" spans="1:13" x14ac:dyDescent="0.45">
      <c r="A20" s="6">
        <v>20</v>
      </c>
      <c r="B20" s="6" t="s">
        <v>0</v>
      </c>
      <c r="C20" s="6">
        <v>25</v>
      </c>
      <c r="D20" s="9">
        <v>15</v>
      </c>
      <c r="E20" s="9"/>
      <c r="F20" s="22">
        <v>15</v>
      </c>
      <c r="G20" s="22"/>
      <c r="H20" s="22">
        <f>SUM($D$19:D20)</f>
        <v>21</v>
      </c>
      <c r="I20" s="22"/>
      <c r="J20" s="22">
        <f>SUM($F$19:F20)</f>
        <v>23</v>
      </c>
      <c r="K20" s="22"/>
      <c r="L20" s="22">
        <f>ABS(H20-J20)</f>
        <v>2</v>
      </c>
      <c r="M20" s="22"/>
    </row>
    <row r="21" spans="1:13" x14ac:dyDescent="0.45">
      <c r="A21" s="6">
        <v>25</v>
      </c>
      <c r="B21" s="6" t="s">
        <v>0</v>
      </c>
      <c r="C21" s="6">
        <v>30</v>
      </c>
      <c r="D21" s="9">
        <v>57</v>
      </c>
      <c r="E21" s="9"/>
      <c r="F21" s="22">
        <v>23</v>
      </c>
      <c r="G21" s="22"/>
      <c r="H21" s="22">
        <f>SUM($D$19:D21)</f>
        <v>78</v>
      </c>
      <c r="I21" s="22"/>
      <c r="J21" s="22">
        <f>SUM($F$19:F21)</f>
        <v>46</v>
      </c>
      <c r="K21" s="22"/>
      <c r="L21" s="22">
        <f>ABS(H21-J21)</f>
        <v>32</v>
      </c>
      <c r="M21" s="22"/>
    </row>
    <row r="22" spans="1:13" x14ac:dyDescent="0.45">
      <c r="A22" s="6">
        <v>30</v>
      </c>
      <c r="B22" s="6" t="s">
        <v>0</v>
      </c>
      <c r="C22" s="6">
        <v>35</v>
      </c>
      <c r="D22" s="9">
        <v>17</v>
      </c>
      <c r="E22" s="9"/>
      <c r="F22" s="22">
        <v>29</v>
      </c>
      <c r="G22" s="22"/>
      <c r="H22" s="22">
        <f>SUM($D$19:D22)</f>
        <v>95</v>
      </c>
      <c r="I22" s="22"/>
      <c r="J22" s="22">
        <f>SUM($F$19:F22)</f>
        <v>75</v>
      </c>
      <c r="K22" s="22"/>
      <c r="L22" s="22">
        <f t="shared" si="1"/>
        <v>20</v>
      </c>
      <c r="M22" s="22"/>
    </row>
    <row r="23" spans="1:13" x14ac:dyDescent="0.45">
      <c r="A23" s="6">
        <v>35</v>
      </c>
      <c r="B23" s="6" t="s">
        <v>0</v>
      </c>
      <c r="C23" s="6">
        <v>40</v>
      </c>
      <c r="D23" s="9">
        <v>12</v>
      </c>
      <c r="E23" s="9"/>
      <c r="F23" s="22">
        <v>29</v>
      </c>
      <c r="G23" s="22"/>
      <c r="H23" s="22">
        <f>SUM($D$19:D23)</f>
        <v>107</v>
      </c>
      <c r="I23" s="22"/>
      <c r="J23" s="22">
        <f>SUM($F$19:F23)</f>
        <v>104</v>
      </c>
      <c r="K23" s="22"/>
      <c r="L23" s="22">
        <f t="shared" si="1"/>
        <v>3</v>
      </c>
      <c r="M23" s="22"/>
    </row>
    <row r="24" spans="1:13" x14ac:dyDescent="0.45">
      <c r="A24" s="6">
        <v>40</v>
      </c>
      <c r="B24" s="6" t="s">
        <v>0</v>
      </c>
      <c r="C24" s="6">
        <v>45</v>
      </c>
      <c r="D24" s="9">
        <v>14</v>
      </c>
      <c r="E24" s="9"/>
      <c r="F24" s="22">
        <v>23</v>
      </c>
      <c r="G24" s="22"/>
      <c r="H24" s="22">
        <f>SUM($D$19:D24)</f>
        <v>121</v>
      </c>
      <c r="I24" s="22"/>
      <c r="J24" s="22">
        <f>SUM($F$19:F24)</f>
        <v>127</v>
      </c>
      <c r="K24" s="22"/>
      <c r="L24" s="22">
        <f t="shared" si="1"/>
        <v>6</v>
      </c>
      <c r="M24" s="22"/>
    </row>
    <row r="25" spans="1:13" x14ac:dyDescent="0.45">
      <c r="A25" s="6">
        <v>45</v>
      </c>
      <c r="B25" s="6" t="s">
        <v>0</v>
      </c>
      <c r="C25" s="6">
        <v>50</v>
      </c>
      <c r="D25" s="9">
        <v>20</v>
      </c>
      <c r="E25" s="9"/>
      <c r="F25" s="22">
        <v>15</v>
      </c>
      <c r="G25" s="22"/>
      <c r="H25" s="22">
        <f>SUM($D$19:D25)</f>
        <v>141</v>
      </c>
      <c r="I25" s="22"/>
      <c r="J25" s="22">
        <f>SUM($F$19:F25)</f>
        <v>142</v>
      </c>
      <c r="K25" s="22"/>
      <c r="L25" s="22">
        <f t="shared" si="1"/>
        <v>1</v>
      </c>
      <c r="M25" s="22"/>
    </row>
    <row r="26" spans="1:13" x14ac:dyDescent="0.45">
      <c r="A26" s="6">
        <v>50</v>
      </c>
      <c r="B26" s="6" t="s">
        <v>0</v>
      </c>
      <c r="C26" s="6">
        <v>55</v>
      </c>
      <c r="D26" s="9">
        <v>11</v>
      </c>
      <c r="E26" s="9"/>
      <c r="F26" s="22">
        <v>8</v>
      </c>
      <c r="G26" s="22"/>
      <c r="H26" s="22">
        <f>SUM($D$19:D26)</f>
        <v>152</v>
      </c>
      <c r="I26" s="22"/>
      <c r="J26" s="22">
        <f>SUM($F$19:F26)</f>
        <v>150</v>
      </c>
      <c r="K26" s="22"/>
      <c r="L26" s="22">
        <f t="shared" si="1"/>
        <v>2</v>
      </c>
      <c r="M26" s="22"/>
    </row>
    <row r="27" spans="1:13" ht="14.65" thickBot="1" x14ac:dyDescent="0.5">
      <c r="A27" s="6">
        <v>55</v>
      </c>
      <c r="B27" s="6" t="s">
        <v>0</v>
      </c>
      <c r="C27" s="6">
        <v>60</v>
      </c>
      <c r="D27" s="45">
        <v>8</v>
      </c>
      <c r="E27" s="45"/>
      <c r="F27" s="43">
        <v>3</v>
      </c>
      <c r="G27" s="43"/>
      <c r="H27" s="22">
        <f>SUM($D$19:D27)</f>
        <v>160</v>
      </c>
      <c r="I27" s="22"/>
      <c r="J27" s="22">
        <f>SUM($F$19:F27)</f>
        <v>153</v>
      </c>
      <c r="K27" s="22"/>
      <c r="L27" s="22">
        <f t="shared" si="1"/>
        <v>7</v>
      </c>
      <c r="M27" s="22"/>
    </row>
    <row r="28" spans="1:13" ht="15" thickTop="1" thickBot="1" x14ac:dyDescent="0.5">
      <c r="A28" s="23" t="s">
        <v>1</v>
      </c>
      <c r="B28" s="23"/>
      <c r="C28" s="23"/>
      <c r="D28" s="23">
        <f>SUM(D19:E27)</f>
        <v>160</v>
      </c>
      <c r="E28" s="23"/>
      <c r="F28" s="23">
        <f>SUM(F19:G27)</f>
        <v>153</v>
      </c>
      <c r="G28" s="23"/>
      <c r="H28" s="23" t="s">
        <v>0</v>
      </c>
      <c r="I28" s="23"/>
      <c r="J28" s="23" t="s">
        <v>0</v>
      </c>
      <c r="K28" s="23"/>
      <c r="L28" s="23" t="s">
        <v>0</v>
      </c>
      <c r="M28" s="23"/>
    </row>
    <row r="29" spans="1:13" ht="14.65" thickTop="1" x14ac:dyDescent="0.45"/>
    <row r="30" spans="1:13" x14ac:dyDescent="0.45">
      <c r="A30" s="20" t="s">
        <v>34</v>
      </c>
      <c r="B30" s="21"/>
      <c r="C30" s="6">
        <f>MAX(L19:M27)</f>
        <v>32</v>
      </c>
    </row>
    <row r="31" spans="1:13" ht="14.65" thickBot="1" x14ac:dyDescent="0.5"/>
    <row r="32" spans="1:13" ht="15" thickTop="1" thickBot="1" x14ac:dyDescent="0.5">
      <c r="B32" s="7" t="s">
        <v>37</v>
      </c>
      <c r="C32" s="6">
        <f>C30/SQRT(D28)</f>
        <v>2.5298221281347035</v>
      </c>
      <c r="D32" s="30" t="s">
        <v>35</v>
      </c>
      <c r="E32" s="22"/>
      <c r="F32" s="6" t="s">
        <v>36</v>
      </c>
      <c r="G32" s="6">
        <v>0</v>
      </c>
      <c r="H32" s="30" t="s">
        <v>35</v>
      </c>
      <c r="I32" s="22"/>
      <c r="J32" s="8" t="s">
        <v>38</v>
      </c>
    </row>
    <row r="33" ht="14.65" thickTop="1" x14ac:dyDescent="0.45"/>
  </sheetData>
  <mergeCells count="121">
    <mergeCell ref="D12:E12"/>
    <mergeCell ref="D32:E32"/>
    <mergeCell ref="H32:I32"/>
    <mergeCell ref="A13:C13"/>
    <mergeCell ref="D13:E13"/>
    <mergeCell ref="A1:C3"/>
    <mergeCell ref="D1:E3"/>
    <mergeCell ref="D6:E6"/>
    <mergeCell ref="D7:E7"/>
    <mergeCell ref="D8:E8"/>
    <mergeCell ref="D9:E9"/>
    <mergeCell ref="D10:E10"/>
    <mergeCell ref="D11:E11"/>
    <mergeCell ref="D4:E4"/>
    <mergeCell ref="D5:E5"/>
    <mergeCell ref="H1:I3"/>
    <mergeCell ref="A15:C18"/>
    <mergeCell ref="D15:E17"/>
    <mergeCell ref="F15:G17"/>
    <mergeCell ref="H15:I17"/>
    <mergeCell ref="D18:E18"/>
    <mergeCell ref="F18:G18"/>
    <mergeCell ref="D19:E19"/>
    <mergeCell ref="D26:E26"/>
    <mergeCell ref="J1:K3"/>
    <mergeCell ref="L1:N3"/>
    <mergeCell ref="F8:G8"/>
    <mergeCell ref="F9:G9"/>
    <mergeCell ref="F10:G10"/>
    <mergeCell ref="F11:G11"/>
    <mergeCell ref="F12:G12"/>
    <mergeCell ref="F1:G3"/>
    <mergeCell ref="F4:G4"/>
    <mergeCell ref="F5:G5"/>
    <mergeCell ref="F6:G6"/>
    <mergeCell ref="F7:G7"/>
    <mergeCell ref="H4:I4"/>
    <mergeCell ref="H5:I5"/>
    <mergeCell ref="H6:I6"/>
    <mergeCell ref="H7:I7"/>
    <mergeCell ref="J4:K4"/>
    <mergeCell ref="J5:K5"/>
    <mergeCell ref="J6:K6"/>
    <mergeCell ref="L11:M11"/>
    <mergeCell ref="J15:K17"/>
    <mergeCell ref="J13:K13"/>
    <mergeCell ref="H13:I13"/>
    <mergeCell ref="L4:M4"/>
    <mergeCell ref="L5:M5"/>
    <mergeCell ref="L6:M6"/>
    <mergeCell ref="L7:M7"/>
    <mergeCell ref="L8:M8"/>
    <mergeCell ref="L9:M9"/>
    <mergeCell ref="J7:K7"/>
    <mergeCell ref="J8:K8"/>
    <mergeCell ref="J9:K9"/>
    <mergeCell ref="J10:K10"/>
    <mergeCell ref="J11:K11"/>
    <mergeCell ref="J12:K12"/>
    <mergeCell ref="H8:I8"/>
    <mergeCell ref="H9:I9"/>
    <mergeCell ref="H10:I10"/>
    <mergeCell ref="L15:M18"/>
    <mergeCell ref="H18:I18"/>
    <mergeCell ref="J18:K18"/>
    <mergeCell ref="L10:M10"/>
    <mergeCell ref="L12:M12"/>
    <mergeCell ref="L13:M13"/>
    <mergeCell ref="H11:I11"/>
    <mergeCell ref="H12:I12"/>
    <mergeCell ref="F13:G13"/>
    <mergeCell ref="D27:E27"/>
    <mergeCell ref="F19:G19"/>
    <mergeCell ref="F20:G20"/>
    <mergeCell ref="F21:G21"/>
    <mergeCell ref="F22:G22"/>
    <mergeCell ref="F23:G23"/>
    <mergeCell ref="D20:E20"/>
    <mergeCell ref="D21:E21"/>
    <mergeCell ref="D22:E22"/>
    <mergeCell ref="D23:E23"/>
    <mergeCell ref="D24:E24"/>
    <mergeCell ref="L19:M19"/>
    <mergeCell ref="L20:M20"/>
    <mergeCell ref="L21:M21"/>
    <mergeCell ref="L22:M22"/>
    <mergeCell ref="H25:I25"/>
    <mergeCell ref="H26:I26"/>
    <mergeCell ref="H27:I27"/>
    <mergeCell ref="J19:K19"/>
    <mergeCell ref="J20:K20"/>
    <mergeCell ref="J21:K21"/>
    <mergeCell ref="J22:K22"/>
    <mergeCell ref="J23:K23"/>
    <mergeCell ref="H19:I19"/>
    <mergeCell ref="H20:I20"/>
    <mergeCell ref="H21:I21"/>
    <mergeCell ref="H22:I22"/>
    <mergeCell ref="H23:I23"/>
    <mergeCell ref="H24:I24"/>
    <mergeCell ref="A30:B30"/>
    <mergeCell ref="L23:M23"/>
    <mergeCell ref="L24:M24"/>
    <mergeCell ref="L25:M25"/>
    <mergeCell ref="L26:M26"/>
    <mergeCell ref="L27:M27"/>
    <mergeCell ref="J24:K24"/>
    <mergeCell ref="J25:K25"/>
    <mergeCell ref="J26:K26"/>
    <mergeCell ref="J27:K27"/>
    <mergeCell ref="H28:I28"/>
    <mergeCell ref="J28:K28"/>
    <mergeCell ref="L28:M28"/>
    <mergeCell ref="F24:G24"/>
    <mergeCell ref="F25:G25"/>
    <mergeCell ref="F26:G26"/>
    <mergeCell ref="F27:G27"/>
    <mergeCell ref="A28:C28"/>
    <mergeCell ref="D28:E28"/>
    <mergeCell ref="F28:G28"/>
    <mergeCell ref="D25:E25"/>
  </mergeCells>
  <pageMargins left="0.7" right="0.7" top="0.75" bottom="0.75" header="0.3" footer="0.3"/>
  <ignoredErrors>
    <ignoredError sqref="H19:I27 J19:K2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Числ характер распред</vt:lpstr>
      <vt:lpstr>Проверка на нормаль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2023-12-19T20:33:36Z</dcterms:modified>
</cp:coreProperties>
</file>
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Мария\Desktop\ад\"/>
    </mc:Choice>
  </mc:AlternateContent>
  <xr:revisionPtr revIDLastSave="0" documentId="13_ncr:1_{6980C44C-5755-4F4C-8F7A-B38BD0E7E1AB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 a="1"/>
  <c r="D7" i="1" s="1"/>
  <c r="B17" i="4"/>
  <c r="B12" i="4"/>
  <c r="A12" i="4"/>
  <c r="B20" i="4" s="1"/>
  <c r="F12" i="4" s="1"/>
  <c r="C4" i="3"/>
  <c r="C3" i="3"/>
  <c r="C5" i="3"/>
  <c r="C2" i="3"/>
  <c r="B6" i="3"/>
  <c r="D21" i="2"/>
  <c r="D15" i="2" a="1"/>
  <c r="D18" i="2" s="1"/>
  <c r="C20" i="2"/>
  <c r="C16" i="2"/>
  <c r="C17" i="2"/>
  <c r="C18" i="2"/>
  <c r="C19" i="2"/>
  <c r="C15" i="2"/>
  <c r="B15" i="2"/>
  <c r="A16" i="2" s="1"/>
  <c r="B16" i="2" s="1"/>
  <c r="A17" i="2" s="1"/>
  <c r="B17" i="2" s="1"/>
  <c r="A18" i="2" s="1"/>
  <c r="B18" i="2" s="1"/>
  <c r="A19" i="2" s="1"/>
  <c r="B19" i="2" s="1"/>
  <c r="A20" i="2" s="1"/>
  <c r="B20" i="2" s="1"/>
  <c r="B12" i="2"/>
  <c r="B9" i="2"/>
  <c r="B5" i="2"/>
  <c r="B4" i="2"/>
  <c r="D6" i="1" l="1"/>
  <c r="D5" i="1"/>
  <c r="D10" i="1"/>
  <c r="D9" i="1"/>
  <c r="D8" i="1"/>
  <c r="G12" i="4"/>
  <c r="E13" i="4"/>
  <c r="F13" i="4" s="1"/>
  <c r="D20" i="2"/>
  <c r="D17" i="2"/>
  <c r="D16" i="2"/>
  <c r="D15" i="2"/>
  <c r="D19" i="2"/>
  <c r="G13" i="4" l="1"/>
  <c r="E14" i="4"/>
  <c r="F14" i="4" s="1"/>
  <c r="E15" i="4" l="1"/>
  <c r="F15" i="4" s="1"/>
  <c r="G14" i="4"/>
  <c r="E16" i="4" l="1"/>
  <c r="F16" i="4" s="1"/>
  <c r="G15" i="4"/>
  <c r="E17" i="4" l="1"/>
  <c r="F17" i="4" s="1"/>
  <c r="G16" i="4"/>
  <c r="E18" i="4" l="1"/>
  <c r="F18" i="4" s="1"/>
  <c r="G18" i="4" s="1"/>
  <c r="G17" i="4"/>
  <c r="H12" i="4" l="1" a="1"/>
  <c r="H12" i="4" l="1"/>
  <c r="H14" i="4"/>
  <c r="H13" i="4"/>
  <c r="H18" i="4"/>
  <c r="H17" i="4"/>
  <c r="H16" i="4"/>
  <c r="H15" i="4"/>
  <c r="D2" i="1"/>
  <c r="C2" i="1"/>
  <c r="H19" i="4" l="1"/>
  <c r="D11" i="1"/>
</calcChain>
</file>

<file path=xl/sharedStrings.xml><?xml version="1.0" encoding="utf-8"?>
<sst xmlns="http://schemas.openxmlformats.org/spreadsheetml/2006/main" count="43" uniqueCount="31">
  <si>
    <t>max</t>
  </si>
  <si>
    <t>min</t>
  </si>
  <si>
    <t>x</t>
  </si>
  <si>
    <t>m</t>
  </si>
  <si>
    <t>тыс. руб.</t>
  </si>
  <si>
    <t>n</t>
  </si>
  <si>
    <t xml:space="preserve">k </t>
  </si>
  <si>
    <t>∆</t>
  </si>
  <si>
    <t xml:space="preserve">до 5000 </t>
  </si>
  <si>
    <t xml:space="preserve">5000 — 7000 </t>
  </si>
  <si>
    <t xml:space="preserve">7000 — 10000 </t>
  </si>
  <si>
    <t xml:space="preserve">10000 — 15000 </t>
  </si>
  <si>
    <t xml:space="preserve">Итого: </t>
  </si>
  <si>
    <t>Размер заработной платы руб. в месяц</t>
  </si>
  <si>
    <t>Численность работников чел.</t>
  </si>
  <si>
    <t>2 — 27</t>
  </si>
  <si>
    <t>27 — 52</t>
  </si>
  <si>
    <t>52 — 77</t>
  </si>
  <si>
    <t>77 — 102</t>
  </si>
  <si>
    <t>102 — 127</t>
  </si>
  <si>
    <t>127 — 152</t>
  </si>
  <si>
    <t>mx_нак</t>
  </si>
  <si>
    <t>Измерения диаметров 50 валиков, выточенных на станке</t>
  </si>
  <si>
    <t>k</t>
  </si>
  <si>
    <t>14,15 — 14,23</t>
  </si>
  <si>
    <t>14,23 — 14,30</t>
  </si>
  <si>
    <t>14,30 — 14,38</t>
  </si>
  <si>
    <t>14,38 — 14,46</t>
  </si>
  <si>
    <t>14,46 — 14,54</t>
  </si>
  <si>
    <t>14,54 — 14,61</t>
  </si>
  <si>
    <t>14,61 — 14,69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</si>
</sst>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'1'!$C$5:$C$10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'1'!$D$5:$D$10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9-4C88-957E-9DF496C34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32656"/>
        <c:axId val="1326453808"/>
      </c:scatterChart>
      <c:valAx>
        <c:axId val="132283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6453808"/>
        <c:crosses val="autoZero"/>
        <c:crossBetween val="midCat"/>
      </c:valAx>
      <c:valAx>
        <c:axId val="13264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8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'2'!$D$15:$D$20</c:f>
              <c:strCache>
                <c:ptCount val="6"/>
                <c:pt idx="0">
                  <c:v>11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'2'!$E$15:$E$20</c:f>
              <c:strCache>
                <c:ptCount val="6"/>
                <c:pt idx="0">
                  <c:v>2 — 27</c:v>
                </c:pt>
                <c:pt idx="1">
                  <c:v>27 — 52</c:v>
                </c:pt>
                <c:pt idx="2">
                  <c:v>52 — 77</c:v>
                </c:pt>
                <c:pt idx="3">
                  <c:v>77 — 102</c:v>
                </c:pt>
                <c:pt idx="4">
                  <c:v>102 — 127</c:v>
                </c:pt>
                <c:pt idx="5">
                  <c:v>127 — 152</c:v>
                </c:pt>
              </c:strCache>
            </c:strRef>
          </c:cat>
          <c:val>
            <c:numRef>
              <c:f>'2'!$D$15:$D$20</c:f>
              <c:numCache>
                <c:formatCode>General</c:formatCode>
                <c:ptCount val="6"/>
                <c:pt idx="0">
                  <c:v>11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3-48C3-BFAF-09E932CC5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16515152"/>
        <c:axId val="1326467200"/>
      </c:barChart>
      <c:catAx>
        <c:axId val="14165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6467200"/>
        <c:crosses val="autoZero"/>
        <c:auto val="1"/>
        <c:lblAlgn val="ctr"/>
        <c:lblOffset val="100"/>
        <c:noMultiLvlLbl val="0"/>
      </c:catAx>
      <c:valAx>
        <c:axId val="13264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51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'3'!$A$2:$A$5</c:f>
              <c:strCache>
                <c:ptCount val="4"/>
                <c:pt idx="0">
                  <c:v>до 5000 </c:v>
                </c:pt>
                <c:pt idx="1">
                  <c:v>5000 — 7000 </c:v>
                </c:pt>
                <c:pt idx="2">
                  <c:v>7000 — 10000 </c:v>
                </c:pt>
                <c:pt idx="3">
                  <c:v>10000 — 15000 </c:v>
                </c:pt>
              </c:strCache>
            </c:strRef>
          </c:cat>
          <c:val>
            <c:numRef>
              <c:f>'3'!$B$2:$B$5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2-4307-9C08-356EF456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46318144"/>
        <c:axId val="1226789024"/>
      </c:barChart>
      <c:catAx>
        <c:axId val="10463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6789024"/>
        <c:crosses val="autoZero"/>
        <c:auto val="1"/>
        <c:lblAlgn val="ctr"/>
        <c:lblOffset val="100"/>
        <c:noMultiLvlLbl val="0"/>
      </c:catAx>
      <c:valAx>
        <c:axId val="12267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631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'3'!$A$2:$A$5</c:f>
              <c:strCache>
                <c:ptCount val="4"/>
                <c:pt idx="0">
                  <c:v>до 5000 </c:v>
                </c:pt>
                <c:pt idx="1">
                  <c:v>5000 — 7000 </c:v>
                </c:pt>
                <c:pt idx="2">
                  <c:v>7000 — 10000 </c:v>
                </c:pt>
                <c:pt idx="3">
                  <c:v>10000 — 15000 </c:v>
                </c:pt>
              </c:strCache>
            </c:strRef>
          </c:xVal>
          <c:yVal>
            <c:numRef>
              <c:f>'3'!$C$2:$C$5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24</c:v>
                </c:pt>
                <c:pt idx="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1-4F79-8830-897E928D6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50896"/>
        <c:axId val="1533534656"/>
      </c:scatterChart>
      <c:valAx>
        <c:axId val="132285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3534656"/>
        <c:crosses val="autoZero"/>
        <c:crossBetween val="midCat"/>
      </c:valAx>
      <c:valAx>
        <c:axId val="15335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85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'4'!$I$12:$I$18</c:f>
              <c:strCache>
                <c:ptCount val="7"/>
                <c:pt idx="0">
                  <c:v>14,15 — 14,23</c:v>
                </c:pt>
                <c:pt idx="1">
                  <c:v>14,23 — 14,30</c:v>
                </c:pt>
                <c:pt idx="2">
                  <c:v>14,30 — 14,38</c:v>
                </c:pt>
                <c:pt idx="3">
                  <c:v>14,38 — 14,46</c:v>
                </c:pt>
                <c:pt idx="4">
                  <c:v>14,46 — 14,54</c:v>
                </c:pt>
                <c:pt idx="5">
                  <c:v>14,54 — 14,61</c:v>
                </c:pt>
                <c:pt idx="6">
                  <c:v>14,61 — 14,69</c:v>
                </c:pt>
              </c:strCache>
            </c:strRef>
          </c:cat>
          <c:val>
            <c:numRef>
              <c:f>'4'!$H$12:$H$18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13</c:v>
                </c:pt>
                <c:pt idx="3">
                  <c:v>4</c:v>
                </c:pt>
                <c:pt idx="4">
                  <c:v>14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B-43BB-BF83-37B5778AA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322836496"/>
        <c:axId val="1533561440"/>
      </c:barChart>
      <c:catAx>
        <c:axId val="13228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3561440"/>
        <c:crosses val="autoZero"/>
        <c:auto val="1"/>
        <c:lblAlgn val="ctr"/>
        <c:lblOffset val="100"/>
        <c:noMultiLvlLbl val="0"/>
      </c:catAx>
      <c:valAx>
        <c:axId val="15335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8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</xdr:colOff>
      <xdr:row>4</xdr:row>
      <xdr:rowOff>7143</xdr:rowOff>
    </xdr:from>
    <xdr:to>
      <xdr:col>12</xdr:col>
      <xdr:colOff>59531</xdr:colOff>
      <xdr:row>19</xdr:row>
      <xdr:rowOff>35718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76DBE26-6DA5-1E7D-C4CD-881E7C8CC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602456</xdr:colOff>
      <xdr:row>2</xdr:row>
      <xdr:rowOff>130969</xdr:rowOff>
    </xdr:from>
    <xdr:to>
      <xdr:col>12</xdr:col>
      <xdr:colOff>640556</xdr:colOff>
      <xdr:row>17</xdr:row>
      <xdr:rowOff>159544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FD690B-F855-5935-C098-23EEDF1D4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7142</xdr:colOff>
      <xdr:row>8</xdr:row>
      <xdr:rowOff>30955</xdr:rowOff>
    </xdr:from>
    <xdr:to>
      <xdr:col>13</xdr:col>
      <xdr:colOff>45242</xdr:colOff>
      <xdr:row>23</xdr:row>
      <xdr:rowOff>59530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EE3461E-9406-B523-63DC-070000EA8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59531</xdr:colOff>
      <xdr:row>8</xdr:row>
      <xdr:rowOff>21431</xdr:rowOff>
    </xdr:from>
    <xdr:to>
      <xdr:col>5</xdr:col>
      <xdr:colOff>21431</xdr:colOff>
      <xdr:row>23</xdr:row>
      <xdr:rowOff>50006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21AB762-33DA-B5C2-9091-128647AD3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135731</xdr:colOff>
      <xdr:row>1</xdr:row>
      <xdr:rowOff>73819</xdr:rowOff>
    </xdr:from>
    <xdr:to>
      <xdr:col>18</xdr:col>
      <xdr:colOff>428625</xdr:colOff>
      <xdr:row>18</xdr:row>
      <xdr:rowOff>147638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B7C420-F2A7-F1B0-1B16-D7B9DBD62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19" sqref="C19"/>
    </sheetView>
  </sheetViews>
  <sheetFormatPr defaultRowHeight="14.25" x14ac:dyDescent="0.45"/>
  <sheetData>
    <row r="1" spans="1:4" x14ac:dyDescent="0.45">
      <c r="A1">
        <v>4</v>
      </c>
      <c r="C1" t="s">
        <v>0</v>
      </c>
      <c r="D1" t="s">
        <v>1</v>
      </c>
    </row>
    <row r="2" spans="1:4" x14ac:dyDescent="0.45">
      <c r="A2">
        <v>2</v>
      </c>
      <c r="C2">
        <f>MAX(A1:A25)</f>
        <v>6</v>
      </c>
      <c r="D2">
        <f>MIN(A1:A25)</f>
        <v>1</v>
      </c>
    </row>
    <row r="3" spans="1:4" x14ac:dyDescent="0.45">
      <c r="A3">
        <v>4</v>
      </c>
    </row>
    <row r="4" spans="1:4" x14ac:dyDescent="0.45">
      <c r="A4">
        <v>6</v>
      </c>
      <c r="C4" t="s">
        <v>2</v>
      </c>
      <c r="D4" t="s">
        <v>3</v>
      </c>
    </row>
    <row r="5" spans="1:4" x14ac:dyDescent="0.45">
      <c r="A5">
        <v>5</v>
      </c>
      <c r="C5">
        <v>1</v>
      </c>
      <c r="D5">
        <f t="array" ref="D5:D10">FREQUENCY(A1:A25,C5:C10)</f>
        <v>3</v>
      </c>
    </row>
    <row r="6" spans="1:4" x14ac:dyDescent="0.45">
      <c r="A6">
        <v>6</v>
      </c>
      <c r="C6">
        <v>2</v>
      </c>
      <c r="D6">
        <v>5</v>
      </c>
    </row>
    <row r="7" spans="1:4" x14ac:dyDescent="0.45">
      <c r="A7">
        <v>4</v>
      </c>
      <c r="C7">
        <v>3</v>
      </c>
      <c r="D7">
        <v>4</v>
      </c>
    </row>
    <row r="8" spans="1:4" x14ac:dyDescent="0.45">
      <c r="A8">
        <v>1</v>
      </c>
      <c r="C8">
        <v>4</v>
      </c>
      <c r="D8">
        <v>6</v>
      </c>
    </row>
    <row r="9" spans="1:4" x14ac:dyDescent="0.45">
      <c r="A9">
        <v>3</v>
      </c>
      <c r="C9">
        <v>5</v>
      </c>
      <c r="D9">
        <v>3</v>
      </c>
    </row>
    <row r="10" spans="1:4" x14ac:dyDescent="0.45">
      <c r="A10">
        <v>1</v>
      </c>
      <c r="C10">
        <v>6</v>
      </c>
      <c r="D10">
        <v>4</v>
      </c>
    </row>
    <row r="11" spans="1:4" x14ac:dyDescent="0.45">
      <c r="A11">
        <v>2</v>
      </c>
      <c r="D11">
        <f>SUM(D5:D10)</f>
        <v>25</v>
      </c>
    </row>
    <row r="12" spans="1:4" x14ac:dyDescent="0.45">
      <c r="A12">
        <v>5</v>
      </c>
    </row>
    <row r="13" spans="1:4" x14ac:dyDescent="0.45">
      <c r="A13">
        <v>2</v>
      </c>
    </row>
    <row r="14" spans="1:4" x14ac:dyDescent="0.45">
      <c r="A14">
        <v>6</v>
      </c>
    </row>
    <row r="15" spans="1:4" x14ac:dyDescent="0.45">
      <c r="A15">
        <v>3</v>
      </c>
    </row>
    <row r="16" spans="1:4" x14ac:dyDescent="0.45">
      <c r="A16">
        <v>1</v>
      </c>
    </row>
    <row r="17" spans="1:1" x14ac:dyDescent="0.45">
      <c r="A17">
        <v>2</v>
      </c>
    </row>
    <row r="18" spans="1:1" x14ac:dyDescent="0.45">
      <c r="A18">
        <v>3</v>
      </c>
    </row>
    <row r="19" spans="1:1" x14ac:dyDescent="0.45">
      <c r="A19">
        <v>4</v>
      </c>
    </row>
    <row r="20" spans="1:1" x14ac:dyDescent="0.45">
      <c r="A20">
        <v>5</v>
      </c>
    </row>
    <row r="21" spans="1:1" x14ac:dyDescent="0.45">
      <c r="A21">
        <v>4</v>
      </c>
    </row>
    <row r="22" spans="1:1" x14ac:dyDescent="0.45">
      <c r="A22">
        <v>6</v>
      </c>
    </row>
    <row r="23" spans="1:1" x14ac:dyDescent="0.45">
      <c r="A23">
        <v>2</v>
      </c>
    </row>
    <row r="24" spans="1:1" x14ac:dyDescent="0.45">
      <c r="A24">
        <v>3</v>
      </c>
    </row>
    <row r="25" spans="1:1" x14ac:dyDescent="0.45">
      <c r="A25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7321-63F8-4C4E-9914-260AAEFD7D79}">
  <dimension ref="A1:Q21"/>
  <sheetViews>
    <sheetView workbookViewId="0">
      <selection activeCell="E20" sqref="E20"/>
    </sheetView>
  </sheetViews>
  <sheetFormatPr defaultRowHeight="14.25" x14ac:dyDescent="0.45"/>
  <sheetData>
    <row r="1" spans="1:17" x14ac:dyDescent="0.45">
      <c r="A1" t="s">
        <v>4</v>
      </c>
      <c r="B1">
        <v>60</v>
      </c>
      <c r="C1">
        <v>25</v>
      </c>
      <c r="D1">
        <v>12</v>
      </c>
      <c r="E1">
        <v>10</v>
      </c>
      <c r="F1">
        <v>68</v>
      </c>
      <c r="G1">
        <v>35</v>
      </c>
      <c r="H1">
        <v>2</v>
      </c>
      <c r="I1">
        <v>17</v>
      </c>
      <c r="J1">
        <v>51</v>
      </c>
      <c r="K1">
        <v>9</v>
      </c>
      <c r="L1">
        <v>3</v>
      </c>
      <c r="M1">
        <v>130</v>
      </c>
      <c r="N1">
        <v>24</v>
      </c>
      <c r="O1">
        <v>85</v>
      </c>
      <c r="P1">
        <v>100</v>
      </c>
      <c r="Q1">
        <v>152</v>
      </c>
    </row>
    <row r="2" spans="1:17" x14ac:dyDescent="0.45">
      <c r="B2">
        <v>6</v>
      </c>
      <c r="C2">
        <v>18</v>
      </c>
      <c r="D2">
        <v>7</v>
      </c>
      <c r="E2">
        <v>42</v>
      </c>
    </row>
    <row r="4" spans="1:17" x14ac:dyDescent="0.45">
      <c r="A4" t="s">
        <v>0</v>
      </c>
      <c r="B4">
        <f>MAX(B1:Q2)</f>
        <v>152</v>
      </c>
    </row>
    <row r="5" spans="1:17" x14ac:dyDescent="0.45">
      <c r="A5" t="s">
        <v>1</v>
      </c>
      <c r="B5">
        <f>MIN(B1:Q2)</f>
        <v>2</v>
      </c>
    </row>
    <row r="7" spans="1:17" x14ac:dyDescent="0.45">
      <c r="A7" t="s">
        <v>5</v>
      </c>
      <c r="B7">
        <v>20</v>
      </c>
    </row>
    <row r="9" spans="1:17" x14ac:dyDescent="0.45">
      <c r="A9" t="s">
        <v>6</v>
      </c>
      <c r="B9">
        <f>1+1.4*LN(B7)</f>
        <v>5.1940251829755866</v>
      </c>
    </row>
    <row r="10" spans="1:17" x14ac:dyDescent="0.45">
      <c r="B10">
        <v>6</v>
      </c>
    </row>
    <row r="12" spans="1:17" x14ac:dyDescent="0.45">
      <c r="A12" s="1" t="s">
        <v>7</v>
      </c>
      <c r="B12">
        <f>(B4-B5)/B10</f>
        <v>25</v>
      </c>
    </row>
    <row r="14" spans="1:17" x14ac:dyDescent="0.45">
      <c r="A14" s="7" t="s">
        <v>2</v>
      </c>
      <c r="B14" s="7"/>
      <c r="D14" t="s">
        <v>3</v>
      </c>
      <c r="E14" t="s">
        <v>2</v>
      </c>
    </row>
    <row r="15" spans="1:17" x14ac:dyDescent="0.45">
      <c r="A15">
        <v>2</v>
      </c>
      <c r="B15">
        <f t="shared" ref="B15:B20" si="0">A15+$B$12</f>
        <v>27</v>
      </c>
      <c r="C15">
        <f>B15-0.001</f>
        <v>26.998999999999999</v>
      </c>
      <c r="D15">
        <f t="array" ref="D15:D20">FREQUENCY(B1:Q2,C15:C20)</f>
        <v>11</v>
      </c>
      <c r="E15" t="s">
        <v>15</v>
      </c>
    </row>
    <row r="16" spans="1:17" x14ac:dyDescent="0.45">
      <c r="A16">
        <f>B15</f>
        <v>27</v>
      </c>
      <c r="B16">
        <f t="shared" si="0"/>
        <v>52</v>
      </c>
      <c r="C16">
        <f t="shared" ref="C16:C19" si="1">B16-0.001</f>
        <v>51.999000000000002</v>
      </c>
      <c r="D16">
        <v>3</v>
      </c>
      <c r="E16" t="s">
        <v>16</v>
      </c>
    </row>
    <row r="17" spans="1:5" x14ac:dyDescent="0.45">
      <c r="A17">
        <f>B16</f>
        <v>52</v>
      </c>
      <c r="B17">
        <f t="shared" si="0"/>
        <v>77</v>
      </c>
      <c r="C17">
        <f t="shared" si="1"/>
        <v>76.998999999999995</v>
      </c>
      <c r="D17">
        <v>2</v>
      </c>
      <c r="E17" t="s">
        <v>17</v>
      </c>
    </row>
    <row r="18" spans="1:5" x14ac:dyDescent="0.45">
      <c r="A18">
        <f>B17</f>
        <v>77</v>
      </c>
      <c r="B18">
        <f t="shared" si="0"/>
        <v>102</v>
      </c>
      <c r="C18">
        <f t="shared" si="1"/>
        <v>101.999</v>
      </c>
      <c r="D18">
        <v>2</v>
      </c>
      <c r="E18" t="s">
        <v>18</v>
      </c>
    </row>
    <row r="19" spans="1:5" x14ac:dyDescent="0.45">
      <c r="A19">
        <f>B18</f>
        <v>102</v>
      </c>
      <c r="B19">
        <f t="shared" si="0"/>
        <v>127</v>
      </c>
      <c r="C19">
        <f t="shared" si="1"/>
        <v>126.999</v>
      </c>
      <c r="D19">
        <v>0</v>
      </c>
      <c r="E19" t="s">
        <v>19</v>
      </c>
    </row>
    <row r="20" spans="1:5" x14ac:dyDescent="0.45">
      <c r="A20">
        <f>B19</f>
        <v>127</v>
      </c>
      <c r="B20">
        <f t="shared" si="0"/>
        <v>152</v>
      </c>
      <c r="C20">
        <f>B20+0.001</f>
        <v>152.001</v>
      </c>
      <c r="D20">
        <v>2</v>
      </c>
      <c r="E20" t="s">
        <v>20</v>
      </c>
    </row>
    <row r="21" spans="1:5" x14ac:dyDescent="0.45">
      <c r="D21">
        <f>SUM(D15:D20)</f>
        <v>20</v>
      </c>
    </row>
  </sheetData>
  <mergeCells count="1">
    <mergeCell ref="A14:B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F5B2-B37F-401C-8C3F-F5C24379DA9F}">
  <dimension ref="A1:C6"/>
  <sheetViews>
    <sheetView workbookViewId="0">
      <selection activeCell="J19" sqref="J19"/>
    </sheetView>
  </sheetViews>
  <sheetFormatPr defaultRowHeight="14.25" x14ac:dyDescent="0.45"/>
  <cols>
    <col min="1" max="1" width="22" customWidth="1"/>
    <col min="2" max="2" width="15.33203125" customWidth="1"/>
  </cols>
  <sheetData>
    <row r="1" spans="1:3" ht="28.5" x14ac:dyDescent="0.45">
      <c r="A1" s="2" t="s">
        <v>13</v>
      </c>
      <c r="B1" s="2" t="s">
        <v>14</v>
      </c>
      <c r="C1" t="s">
        <v>21</v>
      </c>
    </row>
    <row r="2" spans="1:3" x14ac:dyDescent="0.45">
      <c r="A2" s="3" t="s">
        <v>8</v>
      </c>
      <c r="B2" s="3">
        <v>4</v>
      </c>
      <c r="C2">
        <f>SUM($B$2:B2)</f>
        <v>4</v>
      </c>
    </row>
    <row r="3" spans="1:3" x14ac:dyDescent="0.45">
      <c r="A3" s="3" t="s">
        <v>9</v>
      </c>
      <c r="B3" s="3">
        <v>12</v>
      </c>
      <c r="C3">
        <f>SUM($B$2:B3)</f>
        <v>16</v>
      </c>
    </row>
    <row r="4" spans="1:3" x14ac:dyDescent="0.45">
      <c r="A4" s="3" t="s">
        <v>10</v>
      </c>
      <c r="B4" s="3">
        <v>8</v>
      </c>
      <c r="C4">
        <f>SUM($B$2:B4)</f>
        <v>24</v>
      </c>
    </row>
    <row r="5" spans="1:3" x14ac:dyDescent="0.45">
      <c r="A5" s="3" t="s">
        <v>11</v>
      </c>
      <c r="B5" s="3">
        <v>6</v>
      </c>
      <c r="C5">
        <f>SUM($B$2:B5)</f>
        <v>30</v>
      </c>
    </row>
    <row r="6" spans="1:3" x14ac:dyDescent="0.45">
      <c r="A6" s="3" t="s">
        <v>12</v>
      </c>
      <c r="B6" s="3">
        <f>SUM(B2:B5)</f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D53A-12F1-4F37-8437-29FCFD405665}">
  <dimension ref="A1:I20"/>
  <sheetViews>
    <sheetView workbookViewId="0">
      <selection activeCell="E11" sqref="E11:I19"/>
    </sheetView>
  </sheetViews>
  <sheetFormatPr defaultRowHeight="14.25" x14ac:dyDescent="0.45"/>
  <cols>
    <col min="1" max="6" width="9.06640625" style="3"/>
    <col min="7" max="7" width="9.19921875" style="3" bestFit="1" customWidth="1"/>
    <col min="8" max="8" width="9.06640625" style="3"/>
    <col min="9" max="9" width="15.6640625" style="3" customWidth="1"/>
    <col min="10" max="10" width="9.06640625" style="3"/>
    <col min="11" max="11" width="9.06640625" style="3" customWidth="1"/>
    <col min="12" max="16384" width="9.06640625" style="3"/>
  </cols>
  <sheetData>
    <row r="1" spans="1:9" x14ac:dyDescent="0.45">
      <c r="A1" s="8" t="s">
        <v>22</v>
      </c>
      <c r="B1" s="8"/>
      <c r="C1" s="8"/>
      <c r="D1" s="8"/>
      <c r="E1" s="8"/>
      <c r="F1" s="8"/>
      <c r="G1" s="8"/>
      <c r="H1" s="8"/>
    </row>
    <row r="2" spans="1:9" x14ac:dyDescent="0.45">
      <c r="A2" s="3">
        <v>14.51</v>
      </c>
      <c r="B2" s="3">
        <v>14.42</v>
      </c>
      <c r="C2" s="3">
        <v>14.56</v>
      </c>
      <c r="D2" s="3">
        <v>14.47</v>
      </c>
      <c r="E2" s="3">
        <v>14.46</v>
      </c>
      <c r="F2" s="3">
        <v>14.35</v>
      </c>
      <c r="G2" s="3">
        <v>14.48</v>
      </c>
      <c r="H2" s="3">
        <v>14.53</v>
      </c>
    </row>
    <row r="3" spans="1:9" x14ac:dyDescent="0.45">
      <c r="A3" s="3">
        <v>14.21</v>
      </c>
      <c r="B3" s="3">
        <v>14.31</v>
      </c>
      <c r="C3" s="3">
        <v>14.35</v>
      </c>
      <c r="D3" s="3">
        <v>14.68</v>
      </c>
      <c r="E3" s="3">
        <v>14.56</v>
      </c>
      <c r="F3" s="3">
        <v>14.28</v>
      </c>
      <c r="G3" s="3">
        <v>14.36</v>
      </c>
      <c r="H3" s="3">
        <v>14.21</v>
      </c>
    </row>
    <row r="4" spans="1:9" x14ac:dyDescent="0.45">
      <c r="A4" s="3">
        <v>14.52</v>
      </c>
      <c r="B4" s="3">
        <v>14.23</v>
      </c>
      <c r="C4" s="3">
        <v>14.41</v>
      </c>
      <c r="D4" s="3">
        <v>14.46</v>
      </c>
      <c r="E4" s="3">
        <v>14.69</v>
      </c>
      <c r="F4" s="3">
        <v>14.54</v>
      </c>
      <c r="G4" s="3">
        <v>14.36</v>
      </c>
      <c r="H4" s="3">
        <v>14.15</v>
      </c>
    </row>
    <row r="5" spans="1:9" x14ac:dyDescent="0.45">
      <c r="A5" s="3">
        <v>14.37</v>
      </c>
      <c r="B5" s="3">
        <v>14.51</v>
      </c>
      <c r="C5" s="3">
        <v>14.25</v>
      </c>
      <c r="D5" s="3">
        <v>14.55</v>
      </c>
      <c r="E5" s="3">
        <v>14.51</v>
      </c>
      <c r="F5" s="3">
        <v>14.36</v>
      </c>
      <c r="G5" s="3">
        <v>14.62</v>
      </c>
      <c r="H5" s="3">
        <v>14.55</v>
      </c>
    </row>
    <row r="6" spans="1:9" x14ac:dyDescent="0.45">
      <c r="A6" s="3">
        <v>14.38</v>
      </c>
      <c r="B6" s="3">
        <v>14.33</v>
      </c>
      <c r="C6" s="3">
        <v>14.4</v>
      </c>
      <c r="D6" s="3">
        <v>14.52</v>
      </c>
      <c r="E6" s="3">
        <v>14.48</v>
      </c>
      <c r="F6" s="3">
        <v>14.51</v>
      </c>
      <c r="G6" s="3">
        <v>14.55</v>
      </c>
      <c r="H6" s="3">
        <v>14.39</v>
      </c>
    </row>
    <row r="7" spans="1:9" x14ac:dyDescent="0.45">
      <c r="A7" s="3">
        <v>14.54</v>
      </c>
      <c r="B7" s="3">
        <v>14.58</v>
      </c>
      <c r="C7" s="3">
        <v>14.48</v>
      </c>
      <c r="D7" s="3">
        <v>14.37</v>
      </c>
      <c r="E7" s="3">
        <v>14.38</v>
      </c>
      <c r="F7" s="3">
        <v>14.51</v>
      </c>
      <c r="G7" s="3">
        <v>14.36</v>
      </c>
      <c r="H7" s="3">
        <v>14.15</v>
      </c>
    </row>
    <row r="8" spans="1:9" x14ac:dyDescent="0.45">
      <c r="A8" s="3">
        <v>14.24</v>
      </c>
      <c r="B8" s="3">
        <v>14.32</v>
      </c>
    </row>
    <row r="11" spans="1:9" x14ac:dyDescent="0.45">
      <c r="A11" s="3" t="s">
        <v>0</v>
      </c>
      <c r="B11" s="3" t="s">
        <v>1</v>
      </c>
      <c r="E11" s="8" t="s">
        <v>2</v>
      </c>
      <c r="F11" s="8"/>
      <c r="H11" s="3" t="s">
        <v>3</v>
      </c>
      <c r="I11" s="3" t="s">
        <v>2</v>
      </c>
    </row>
    <row r="12" spans="1:9" x14ac:dyDescent="0.45">
      <c r="A12" s="3">
        <f>MAX(A2:H8)</f>
        <v>14.69</v>
      </c>
      <c r="B12" s="3">
        <f>MIN(A2:H8)</f>
        <v>14.15</v>
      </c>
      <c r="E12" s="4">
        <v>14.15</v>
      </c>
      <c r="F12" s="4">
        <f t="shared" ref="F12:F18" si="0">E12+$B$20</f>
        <v>14.227142857142857</v>
      </c>
      <c r="G12" s="5">
        <f t="shared" ref="G12:G17" si="1">F12-0.00001</f>
        <v>14.227132857142857</v>
      </c>
      <c r="H12" s="3">
        <f t="array" ref="H12:H18">FREQUENCY(A2:H8,G12:G18)</f>
        <v>4</v>
      </c>
      <c r="I12" s="3" t="s">
        <v>24</v>
      </c>
    </row>
    <row r="13" spans="1:9" x14ac:dyDescent="0.45">
      <c r="E13" s="4">
        <f t="shared" ref="E13:E18" si="2">F12</f>
        <v>14.227142857142857</v>
      </c>
      <c r="F13" s="4">
        <f t="shared" si="0"/>
        <v>14.304285714285713</v>
      </c>
      <c r="G13" s="5">
        <f t="shared" si="1"/>
        <v>14.304275714285714</v>
      </c>
      <c r="H13" s="3">
        <v>4</v>
      </c>
      <c r="I13" s="3" t="s">
        <v>25</v>
      </c>
    </row>
    <row r="14" spans="1:9" x14ac:dyDescent="0.45">
      <c r="E14" s="4">
        <f t="shared" si="2"/>
        <v>14.304285714285713</v>
      </c>
      <c r="F14" s="4">
        <f t="shared" si="0"/>
        <v>14.38142857142857</v>
      </c>
      <c r="G14" s="5">
        <f t="shared" si="1"/>
        <v>14.38141857142857</v>
      </c>
      <c r="H14" s="3">
        <v>13</v>
      </c>
      <c r="I14" s="3" t="s">
        <v>26</v>
      </c>
    </row>
    <row r="15" spans="1:9" x14ac:dyDescent="0.45">
      <c r="A15" s="3" t="s">
        <v>5</v>
      </c>
      <c r="B15" s="3">
        <v>50</v>
      </c>
      <c r="E15" s="4">
        <f t="shared" si="2"/>
        <v>14.38142857142857</v>
      </c>
      <c r="F15" s="4">
        <f t="shared" si="0"/>
        <v>14.458571428571426</v>
      </c>
      <c r="G15" s="5">
        <f t="shared" si="1"/>
        <v>14.458561428571427</v>
      </c>
      <c r="H15" s="3">
        <v>4</v>
      </c>
      <c r="I15" s="3" t="s">
        <v>27</v>
      </c>
    </row>
    <row r="16" spans="1:9" x14ac:dyDescent="0.45">
      <c r="E16" s="4">
        <f t="shared" si="2"/>
        <v>14.458571428571426</v>
      </c>
      <c r="F16" s="4">
        <f t="shared" si="0"/>
        <v>14.535714285714283</v>
      </c>
      <c r="G16" s="5">
        <f t="shared" si="1"/>
        <v>14.535704285714283</v>
      </c>
      <c r="H16" s="3">
        <v>14</v>
      </c>
      <c r="I16" s="3" t="s">
        <v>28</v>
      </c>
    </row>
    <row r="17" spans="1:9" x14ac:dyDescent="0.45">
      <c r="A17" s="3" t="s">
        <v>23</v>
      </c>
      <c r="B17" s="3">
        <f>1+1.4*LN(B15)</f>
        <v>6.4768322075994043</v>
      </c>
      <c r="E17" s="4">
        <f t="shared" si="2"/>
        <v>14.535714285714283</v>
      </c>
      <c r="F17" s="4">
        <f t="shared" si="0"/>
        <v>14.612857142857139</v>
      </c>
      <c r="G17" s="5">
        <f t="shared" si="1"/>
        <v>14.61284714285714</v>
      </c>
      <c r="H17" s="3">
        <v>8</v>
      </c>
      <c r="I17" s="3" t="s">
        <v>29</v>
      </c>
    </row>
    <row r="18" spans="1:9" x14ac:dyDescent="0.45">
      <c r="B18" s="3">
        <v>7</v>
      </c>
      <c r="E18" s="4">
        <f t="shared" si="2"/>
        <v>14.612857142857139</v>
      </c>
      <c r="F18" s="4">
        <f t="shared" si="0"/>
        <v>14.689999999999996</v>
      </c>
      <c r="G18" s="5">
        <f>F18+0.00001</f>
        <v>14.690009999999996</v>
      </c>
      <c r="H18" s="3">
        <v>3</v>
      </c>
      <c r="I18" s="3" t="s">
        <v>30</v>
      </c>
    </row>
    <row r="19" spans="1:9" x14ac:dyDescent="0.45">
      <c r="H19" s="3">
        <f>SUM(H12:H18)</f>
        <v>50</v>
      </c>
    </row>
    <row r="20" spans="1:9" x14ac:dyDescent="0.45">
      <c r="A20" s="6" t="s">
        <v>7</v>
      </c>
      <c r="B20" s="3">
        <f>(A12-B12)/B18</f>
        <v>7.7142857142857027E-2</v>
      </c>
    </row>
  </sheetData>
  <mergeCells count="2">
    <mergeCell ref="A1:H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2023-12-05T15:13:53Z</dcterms:modified>
</cp:coreProperties>
</file>
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Мария\Desktop\"/>
    </mc:Choice>
  </mc:AlternateContent>
  <xr:revisionPtr revIDLastSave="0" documentId="13_ncr:1_{99E6FE5E-DD5F-4E17-AF2E-F849E5084A39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задание1" sheetId="1" r:id="rId1"/>
    <sheet name="задание2" sheetId="2" r:id="rId2"/>
    <sheet name="задание3.1" sheetId="3" r:id="rId3"/>
    <sheet name="задание3.2" sheetId="4" r:id="rId4"/>
    <sheet name="задание3.3" sheetId="5" state="hidden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4" l="1"/>
  <c r="G29" i="4"/>
  <c r="G30" i="4"/>
  <c r="H30" i="4" s="1"/>
  <c r="G31" i="4"/>
  <c r="H31" i="4" s="1"/>
  <c r="G32" i="4"/>
  <c r="H32" i="4" s="1"/>
  <c r="G28" i="4"/>
  <c r="H28" i="4" s="1"/>
  <c r="H29" i="4"/>
  <c r="G33" i="4"/>
  <c r="G27" i="5"/>
  <c r="H27" i="5" s="1"/>
  <c r="H23" i="5"/>
  <c r="G25" i="5"/>
  <c r="H25" i="5" s="1"/>
  <c r="G26" i="5"/>
  <c r="H26" i="5" s="1"/>
  <c r="G28" i="5"/>
  <c r="H28" i="5" s="1"/>
  <c r="G29" i="5"/>
  <c r="H29" i="5" s="1"/>
  <c r="G24" i="5"/>
  <c r="H24" i="5" s="1"/>
  <c r="D26" i="4"/>
  <c r="B20" i="4"/>
  <c r="B13" i="5"/>
  <c r="B17" i="4"/>
  <c r="B9" i="5"/>
  <c r="B8" i="5"/>
  <c r="B16" i="5" s="1"/>
  <c r="D27" i="4"/>
  <c r="D28" i="4"/>
  <c r="D29" i="4"/>
  <c r="D30" i="4"/>
  <c r="D31" i="4"/>
  <c r="D32" i="4"/>
  <c r="H27" i="4"/>
  <c r="H33" i="4"/>
  <c r="G27" i="4"/>
  <c r="B26" i="4"/>
  <c r="A27" i="4" s="1"/>
  <c r="B27" i="4" s="1"/>
  <c r="A28" i="4" s="1"/>
  <c r="B28" i="4" s="1"/>
  <c r="A29" i="4" s="1"/>
  <c r="B29" i="4" s="1"/>
  <c r="A30" i="4" s="1"/>
  <c r="B30" i="4" s="1"/>
  <c r="A31" i="4" s="1"/>
  <c r="B31" i="4" s="1"/>
  <c r="A32" i="4" s="1"/>
  <c r="B32" i="4" s="1"/>
  <c r="G20" i="4"/>
  <c r="G13" i="4" a="1"/>
  <c r="G13" i="4" s="1"/>
  <c r="F17" i="2" a="1"/>
  <c r="F17" i="2" s="1"/>
  <c r="F14" i="4"/>
  <c r="F15" i="4"/>
  <c r="F16" i="4"/>
  <c r="F17" i="4"/>
  <c r="F18" i="4"/>
  <c r="F13" i="4"/>
  <c r="F19" i="4"/>
  <c r="D19" i="4"/>
  <c r="E19" i="4" s="1"/>
  <c r="D15" i="4"/>
  <c r="E15" i="4" s="1"/>
  <c r="D16" i="4" s="1"/>
  <c r="E16" i="4" s="1"/>
  <c r="D17" i="4" s="1"/>
  <c r="E17" i="4" s="1"/>
  <c r="D18" i="4" s="1"/>
  <c r="E18" i="4" s="1"/>
  <c r="E14" i="4"/>
  <c r="E13" i="4"/>
  <c r="D14" i="4" s="1"/>
  <c r="B11" i="2"/>
  <c r="B13" i="4"/>
  <c r="B12" i="4"/>
  <c r="C14" i="3"/>
  <c r="C15" i="3"/>
  <c r="C16" i="3"/>
  <c r="C13" i="3"/>
  <c r="B17" i="3"/>
  <c r="B13" i="3" a="1"/>
  <c r="B13" i="3" s="1"/>
  <c r="B10" i="3"/>
  <c r="B9" i="3"/>
  <c r="E17" i="2"/>
  <c r="G2" i="1" a="1"/>
  <c r="G3" i="1" s="1"/>
  <c r="B14" i="2"/>
  <c r="D17" i="2"/>
  <c r="E23" i="2"/>
  <c r="E22" i="2"/>
  <c r="E21" i="2"/>
  <c r="E20" i="2"/>
  <c r="E19" i="2"/>
  <c r="E18" i="2"/>
  <c r="C18" i="2"/>
  <c r="D18" i="2" s="1"/>
  <c r="C19" i="2" s="1"/>
  <c r="D19" i="2" s="1"/>
  <c r="C20" i="2" s="1"/>
  <c r="D20" i="2" s="1"/>
  <c r="C21" i="2" s="1"/>
  <c r="D21" i="2" s="1"/>
  <c r="C22" i="2" s="1"/>
  <c r="D22" i="2" s="1"/>
  <c r="C23" i="2" s="1"/>
  <c r="D23" i="2" s="1"/>
  <c r="B7" i="2"/>
  <c r="B6" i="2"/>
  <c r="D2" i="1"/>
  <c r="C2" i="1"/>
  <c r="E9" i="5" l="1"/>
  <c r="D24" i="5"/>
  <c r="D26" i="5"/>
  <c r="D27" i="5"/>
  <c r="D25" i="5"/>
  <c r="D23" i="5"/>
  <c r="B23" i="5"/>
  <c r="A24" i="5" s="1"/>
  <c r="B24" i="5" s="1"/>
  <c r="A25" i="5" s="1"/>
  <c r="B25" i="5" s="1"/>
  <c r="A26" i="5" s="1"/>
  <c r="B26" i="5" s="1"/>
  <c r="A27" i="5" s="1"/>
  <c r="B27" i="5" s="1"/>
  <c r="A28" i="5" s="1"/>
  <c r="B28" i="5" s="1"/>
  <c r="D28" i="5"/>
  <c r="G19" i="4"/>
  <c r="G18" i="4"/>
  <c r="G17" i="4"/>
  <c r="G16" i="4"/>
  <c r="G15" i="4"/>
  <c r="G14" i="4"/>
  <c r="F24" i="2"/>
  <c r="F18" i="2"/>
  <c r="F23" i="2"/>
  <c r="F22" i="2"/>
  <c r="F21" i="2"/>
  <c r="F19" i="2"/>
  <c r="F20" i="2"/>
  <c r="B16" i="3"/>
  <c r="B15" i="3"/>
  <c r="B14" i="3"/>
  <c r="G2" i="1"/>
  <c r="G6" i="1"/>
  <c r="G5" i="1"/>
  <c r="G4" i="1"/>
  <c r="F9" i="5" l="1"/>
  <c r="D10" i="5"/>
  <c r="E10" i="5" s="1"/>
  <c r="D11" i="5" l="1"/>
  <c r="E11" i="5" s="1"/>
  <c r="F10" i="5"/>
  <c r="D12" i="5" l="1"/>
  <c r="E12" i="5" s="1"/>
  <c r="F11" i="5"/>
  <c r="D13" i="5" l="1"/>
  <c r="E13" i="5" s="1"/>
  <c r="F12" i="5"/>
  <c r="D14" i="5" l="1"/>
  <c r="E14" i="5" s="1"/>
  <c r="F14" i="5" s="1"/>
  <c r="G9" i="5" s="1" a="1"/>
  <c r="F13" i="5"/>
  <c r="G13" i="5" l="1"/>
  <c r="G12" i="5"/>
  <c r="G10" i="5"/>
  <c r="G9" i="5"/>
  <c r="G11" i="5"/>
  <c r="G14" i="5"/>
  <c r="G15" i="5" l="1"/>
</calcChain>
</file>

<file path=xl/sharedStrings.xml><?xml version="1.0" encoding="utf-8"?>
<sst xmlns="http://schemas.openxmlformats.org/spreadsheetml/2006/main" count="46" uniqueCount="20">
  <si>
    <t>вар (x)</t>
  </si>
  <si>
    <t>част (m)</t>
  </si>
  <si>
    <t>Баллы</t>
  </si>
  <si>
    <t>n</t>
  </si>
  <si>
    <t>k</t>
  </si>
  <si>
    <t>∆</t>
  </si>
  <si>
    <t>x</t>
  </si>
  <si>
    <t>m</t>
  </si>
  <si>
    <t>max</t>
  </si>
  <si>
    <t>min</t>
  </si>
  <si>
    <t>(вар) x</t>
  </si>
  <si>
    <t>(част) m</t>
  </si>
  <si>
    <t>mx_нак</t>
  </si>
  <si>
    <t>ma_нак</t>
  </si>
  <si>
    <t>wa_нак</t>
  </si>
  <si>
    <t>a</t>
  </si>
  <si>
    <t>p</t>
  </si>
  <si>
    <t>Задание: Во время выборочной проверки были установлены суммы отдельных 30-ти покупкок в пекарне. Построить интервальный вариационный ряд распределения покупок по сумме чека. Построить полигон, гистограмму и графики эмперической функции и плотности распределения.</t>
  </si>
  <si>
    <t>Задание: студенты некоторой группы, состоящей из 45 человек, сдали экзамен по курсу "Дискретная математика". Полученные оценки образуют следующий ряд чисел:                                                                                                                                                                                                                           Построить дискретный вариационный ряд. Результаты вычислений представить в таблице. Вариационный ряд изобразить графически.</t>
  </si>
  <si>
    <t>Задание: Представлен числовой ряд, состоящий из возрастов 63-x работников некоторой компании. Построить интервальный вариационный ряд, графически построить полигон, гистограмму и графики эмпирической функции и плотности распределения.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</si>
</sst>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theme="7" tint="-0.24994659260841701"/>
      <name val="Calibri"/>
      <family val="2"/>
      <scheme val="minor"/>
    </font>
    <font>
      <sz val="11"/>
      <color theme="9" tint="-0.2499465926084170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/>
      <bottom/>
      <diagonal/>
    </border>
  </borders>
  <cellStyleXfs count="5">
    <xf numFmtId="0" fontId="0" fillId="0" borderId="0"/>
    <xf numFmtId="0" fontId="2" fillId="2" borderId="2" applyNumberFormat="0" applyAlignment="0" applyProtection="0"/>
    <xf numFmtId="0" fontId="3" fillId="2" borderId="1" applyNumberFormat="0" applyAlignment="0" applyProtection="0"/>
    <xf numFmtId="0" fontId="4" fillId="3" borderId="3">
      <alignment horizontal="center" vertical="center"/>
    </xf>
    <xf numFmtId="0" fontId="5" fillId="3" borderId="3" applyAlignment="0">
      <alignment horizontal="center" vertical="center"/>
    </xf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2" applyAlignment="1">
      <alignment horizontal="center" vertical="center"/>
    </xf>
    <xf numFmtId="0" fontId="3" fillId="2" borderId="1" xfId="2" applyAlignment="1">
      <alignment horizontal="center" vertical="center"/>
    </xf>
    <xf numFmtId="0" fontId="4" fillId="3" borderId="3" xfId="3">
      <alignment horizontal="center" vertical="center"/>
    </xf>
    <xf numFmtId="0" fontId="5" fillId="3" borderId="3" xfId="4" applyAlignment="1">
      <alignment horizontal="center" vertical="center"/>
    </xf>
    <xf numFmtId="0" fontId="5" fillId="3" borderId="3" xfId="4" applyAlignment="1">
      <alignment horizontal="center" vertical="center"/>
    </xf>
    <xf numFmtId="0" fontId="2" fillId="2" borderId="2" xfId="1" applyAlignment="1">
      <alignment horizontal="center" wrapText="1"/>
    </xf>
    <xf numFmtId="0" fontId="2" fillId="2" borderId="2" xfId="1" applyAlignment="1">
      <alignment horizontal="center" vertical="center" wrapText="1"/>
    </xf>
    <xf numFmtId="0" fontId="3" fillId="2" borderId="1" xfId="2"/>
    <xf numFmtId="2" fontId="3" fillId="2" borderId="1" xfId="2" applyNumberFormat="1" applyAlignment="1">
      <alignment horizontal="center" vertical="center"/>
    </xf>
    <xf numFmtId="0" fontId="5" fillId="3" borderId="3" xfId="4" applyAlignment="1"/>
    <xf numFmtId="2" fontId="5" fillId="3" borderId="3" xfId="4" applyNumberFormat="1" applyAlignment="1">
      <alignment horizontal="center" vertical="center"/>
    </xf>
    <xf numFmtId="2" fontId="4" fillId="3" borderId="3" xfId="3" applyNumberFormat="1">
      <alignment horizontal="center" vertical="center"/>
    </xf>
    <xf numFmtId="1" fontId="4" fillId="3" borderId="3" xfId="3" applyNumberFormat="1">
      <alignment horizontal="center" vertical="center"/>
    </xf>
    <xf numFmtId="0" fontId="2" fillId="2" borderId="4" xfId="1" applyBorder="1" applyAlignment="1">
      <alignment horizontal="center" vertical="center" wrapText="1"/>
    </xf>
    <xf numFmtId="0" fontId="2" fillId="2" borderId="0" xfId="1" applyBorder="1" applyAlignment="1">
      <alignment horizontal="center" vertical="center" wrapText="1"/>
    </xf>
  </cellXfs>
  <cellStyles count="5">
    <cellStyle name="Вывод" xfId="1" builtinId="21"/>
    <cellStyle name="Вычисление" xfId="2" builtinId="22"/>
    <cellStyle name="Обычный" xfId="0" builtinId="0"/>
    <cellStyle name="Стиль 1" xfId="3" xr:uid="{D001A73A-58A7-46F3-90B1-D88283D87FF6}"/>
    <cellStyle name="Стиль 2" xfId="4" xr:uid="{31F26926-B12C-46F5-B1D8-57BF7A1811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задание1!$F$2:$F$6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задание1!$G$2:$G$6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E8-4C53-862C-CB3580B21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881215"/>
        <c:axId val="2100758703"/>
      </c:scatterChart>
      <c:valAx>
        <c:axId val="209988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0758703"/>
        <c:crosses val="autoZero"/>
        <c:crossBetween val="midCat"/>
      </c:valAx>
      <c:valAx>
        <c:axId val="21007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988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Гистограмма</a:t>
            </a:r>
          </a:p>
        </c:rich>
      </c:tx>
      <c:layout>
        <c:manualLayout>
          <c:xMode val="edge"/>
          <c:yMode val="edge"/>
          <c:x val="0.4202261934351019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7692038495188118E-2"/>
          <c:y val="0.13653944298629339"/>
          <c:w val="0.90286351706036749"/>
          <c:h val="0.695501603966170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задание2!$E$17:$E$23</c:f>
              <c:strCache>
                <c:ptCount val="7"/>
                <c:pt idx="0">
                  <c:v>5,5690</c:v>
                </c:pt>
                <c:pt idx="1">
                  <c:v>7,1390</c:v>
                </c:pt>
                <c:pt idx="2">
                  <c:v>8,7090</c:v>
                </c:pt>
                <c:pt idx="3">
                  <c:v>10,2890</c:v>
                </c:pt>
                <c:pt idx="4">
                  <c:v>11,8590</c:v>
                </c:pt>
                <c:pt idx="5">
                  <c:v>13,4290</c:v>
                </c:pt>
                <c:pt idx="6">
                  <c:v>15,0010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задание2!$C$17:$D$23</c:f>
              <c:multiLvlStrCache>
                <c:ptCount val="7"/>
                <c:lvl>
                  <c:pt idx="0">
                    <c:v>5,57</c:v>
                  </c:pt>
                  <c:pt idx="1">
                    <c:v>7,14</c:v>
                  </c:pt>
                  <c:pt idx="2">
                    <c:v>8,71</c:v>
                  </c:pt>
                  <c:pt idx="3">
                    <c:v>10,29</c:v>
                  </c:pt>
                  <c:pt idx="4">
                    <c:v>11,86</c:v>
                  </c:pt>
                  <c:pt idx="5">
                    <c:v>13,43</c:v>
                  </c:pt>
                  <c:pt idx="6">
                    <c:v>15,00</c:v>
                  </c:pt>
                </c:lvl>
                <c:lvl>
                  <c:pt idx="0">
                    <c:v>4,00</c:v>
                  </c:pt>
                  <c:pt idx="1">
                    <c:v>5,57</c:v>
                  </c:pt>
                  <c:pt idx="2">
                    <c:v>7,14</c:v>
                  </c:pt>
                  <c:pt idx="3">
                    <c:v>8,71</c:v>
                  </c:pt>
                  <c:pt idx="4">
                    <c:v>10,29</c:v>
                  </c:pt>
                  <c:pt idx="5">
                    <c:v>11,86</c:v>
                  </c:pt>
                  <c:pt idx="6">
                    <c:v>13,43</c:v>
                  </c:pt>
                </c:lvl>
              </c:multiLvlStrCache>
            </c:multiLvlStrRef>
          </c:cat>
          <c:val>
            <c:numRef>
              <c:f>задание2!$F$17:$F$23</c:f>
              <c:numCache>
                <c:formatCode>General</c:formatCode>
                <c:ptCount val="7"/>
                <c:pt idx="0">
                  <c:v>5</c:v>
                </c:pt>
                <c:pt idx="1">
                  <c:v>17</c:v>
                </c:pt>
                <c:pt idx="2">
                  <c:v>9</c:v>
                </c:pt>
                <c:pt idx="3">
                  <c:v>15</c:v>
                </c:pt>
                <c:pt idx="4">
                  <c:v>7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4C-4A71-AC07-9795F252D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248616032"/>
        <c:axId val="2034079664"/>
      </c:barChart>
      <c:catAx>
        <c:axId val="24861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4079664"/>
        <c:crosses val="autoZero"/>
        <c:auto val="1"/>
        <c:lblAlgn val="ctr"/>
        <c:lblOffset val="100"/>
        <c:noMultiLvlLbl val="1"/>
      </c:catAx>
      <c:valAx>
        <c:axId val="203407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861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Кумулянта</a:t>
            </a:r>
          </a:p>
        </c:rich>
      </c:tx>
      <c:layout>
        <c:manualLayout>
          <c:xMode val="edge"/>
          <c:yMode val="edge"/>
          <c:x val="0.42048664411912756"/>
          <c:y val="4.933701923599877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650332947323324E-2"/>
          <c:y val="0.1287202831867208"/>
          <c:w val="0.90276225964964829"/>
          <c:h val="0.75682637875602343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задание3.1!$A$13:$A$16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задание3.1!$C$13:$C$16</c:f>
              <c:numCache>
                <c:formatCode>General</c:formatCode>
                <c:ptCount val="4"/>
                <c:pt idx="0">
                  <c:v>13</c:v>
                </c:pt>
                <c:pt idx="1">
                  <c:v>28</c:v>
                </c:pt>
                <c:pt idx="2">
                  <c:v>36</c:v>
                </c:pt>
                <c:pt idx="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FB-4E09-ADCF-1C0C23EF0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996528"/>
        <c:axId val="2034085616"/>
      </c:lineChart>
      <c:catAx>
        <c:axId val="203699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4085616"/>
        <c:crosses val="autoZero"/>
        <c:auto val="1"/>
        <c:lblAlgn val="ctr"/>
        <c:lblOffset val="100"/>
        <c:noMultiLvlLbl val="0"/>
      </c:catAx>
      <c:valAx>
        <c:axId val="203408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699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Полигон и 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столб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задание3.1!$A$13:$A$16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задание3.1!$B$13:$B$16</c:f>
              <c:numCache>
                <c:formatCode>General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0-4CC8-91D2-CFD6C0138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-27"/>
        <c:axId val="404687840"/>
        <c:axId val="2040869984"/>
      </c:barChart>
      <c:lineChart>
        <c:grouping val="standard"/>
        <c:varyColors val="0"/>
        <c:ser>
          <c:idx val="1"/>
          <c:order val="1"/>
          <c:tx>
            <c:v>полигон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задание3.1!$B$13:$B$16</c:f>
              <c:numCache>
                <c:formatCode>General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A0-4CC8-91D2-CFD6C0138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4687840"/>
        <c:axId val="2040869984"/>
      </c:lineChart>
      <c:catAx>
        <c:axId val="40468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0869984"/>
        <c:crosses val="autoZero"/>
        <c:auto val="1"/>
        <c:lblAlgn val="ctr"/>
        <c:lblOffset val="100"/>
        <c:noMultiLvlLbl val="0"/>
      </c:catAx>
      <c:valAx>
        <c:axId val="20408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468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Полигон и гистограмма</a:t>
            </a:r>
          </a:p>
        </c:rich>
      </c:tx>
      <c:layout>
        <c:manualLayout>
          <c:xMode val="edge"/>
          <c:yMode val="edge"/>
          <c:x val="0.30945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задание3.2!$G$13:$G$19</c:f>
              <c:strCache>
                <c:ptCount val="7"/>
                <c:pt idx="0">
                  <c:v>6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задание3.2!$D$13:$E$19</c:f>
              <c:multiLvlStrCache>
                <c:ptCount val="7"/>
                <c:lvl>
                  <c:pt idx="0">
                    <c:v>25</c:v>
                  </c:pt>
                  <c:pt idx="1">
                    <c:v>30</c:v>
                  </c:pt>
                  <c:pt idx="2">
                    <c:v>35</c:v>
                  </c:pt>
                  <c:pt idx="3">
                    <c:v>40</c:v>
                  </c:pt>
                  <c:pt idx="4">
                    <c:v>45</c:v>
                  </c:pt>
                  <c:pt idx="5">
                    <c:v>50</c:v>
                  </c:pt>
                  <c:pt idx="6">
                    <c:v>55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35</c:v>
                  </c:pt>
                  <c:pt idx="4">
                    <c:v>40</c:v>
                  </c:pt>
                  <c:pt idx="5">
                    <c:v>45</c:v>
                  </c:pt>
                  <c:pt idx="6">
                    <c:v>50</c:v>
                  </c:pt>
                </c:lvl>
              </c:multiLvlStrCache>
            </c:multiLvlStrRef>
          </c:cat>
          <c:val>
            <c:numRef>
              <c:f>задание3.2!$G$13:$G$19</c:f>
              <c:numCache>
                <c:formatCode>General</c:formatCode>
                <c:ptCount val="7"/>
                <c:pt idx="0">
                  <c:v>6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8-4129-8959-D92574C50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"/>
        <c:overlap val="-27"/>
        <c:axId val="65433840"/>
        <c:axId val="392474144"/>
      </c:barChart>
      <c:lineChart>
        <c:grouping val="standard"/>
        <c:varyColors val="0"/>
        <c:ser>
          <c:idx val="1"/>
          <c:order val="1"/>
          <c:tx>
            <c:strRef>
              <c:f>задание3.2!$G$13:$G$19</c:f>
              <c:strCache>
                <c:ptCount val="7"/>
                <c:pt idx="0">
                  <c:v>6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13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задание3.2!$G$13:$G$19</c:f>
              <c:numCache>
                <c:formatCode>General</c:formatCode>
                <c:ptCount val="7"/>
                <c:pt idx="0">
                  <c:v>6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8-4129-8959-D92574C50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433840"/>
        <c:axId val="392474144"/>
      </c:lineChart>
      <c:catAx>
        <c:axId val="654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2474144"/>
        <c:crosses val="autoZero"/>
        <c:auto val="1"/>
        <c:lblAlgn val="ctr"/>
        <c:lblOffset val="100"/>
        <c:noMultiLvlLbl val="0"/>
      </c:catAx>
      <c:valAx>
        <c:axId val="3924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43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эмпирическая функция распределения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>
              <a:softEdge rad="0"/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softEdge rad="0"/>
              </a:effectLst>
            </c:spPr>
          </c:marker>
          <c:xVal>
            <c:numRef>
              <c:f>задание3.2!$F$26:$F$33</c:f>
              <c:numCache>
                <c:formatCode>General</c:formatCode>
                <c:ptCount val="8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</c:numCache>
            </c:numRef>
          </c:xVal>
          <c:yVal>
            <c:numRef>
              <c:f>задание3.2!$H$26:$H$33</c:f>
              <c:numCache>
                <c:formatCode>General</c:formatCode>
                <c:ptCount val="8"/>
                <c:pt idx="0">
                  <c:v>1.5873015873015872E-2</c:v>
                </c:pt>
                <c:pt idx="1">
                  <c:v>9.5238095238095233E-2</c:v>
                </c:pt>
                <c:pt idx="2">
                  <c:v>0.25396825396825395</c:v>
                </c:pt>
                <c:pt idx="3">
                  <c:v>0.42857142857142855</c:v>
                </c:pt>
                <c:pt idx="4">
                  <c:v>0.5714285714285714</c:v>
                </c:pt>
                <c:pt idx="5">
                  <c:v>0.7142857142857143</c:v>
                </c:pt>
                <c:pt idx="6">
                  <c:v>0.79365079365079361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9B-40C8-AC80-E088FAE22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3658864"/>
        <c:axId val="392477616"/>
      </c:scatterChart>
      <c:valAx>
        <c:axId val="1313658864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2477616"/>
        <c:crosses val="autoZero"/>
        <c:crossBetween val="midCat"/>
        <c:majorUnit val="5"/>
      </c:valAx>
      <c:valAx>
        <c:axId val="392477616"/>
        <c:scaling>
          <c:orientation val="minMax"/>
          <c:max val="1.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365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эмпирическая плотность</a:t>
            </a:r>
            <a:r>
              <a:rPr lang="en-US" sz="1400" b="0" i="0" u="none" strike="noStrike" baseline="0">
                <a:effectLst/>
              </a:rPr>
              <a:t> </a:t>
            </a:r>
            <a:r>
              <a:rPr lang="ru-RU" sz="1400" b="0" i="0" u="none" strike="noStrike" baseline="0">
                <a:effectLst/>
              </a:rPr>
              <a:t>распределения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задание3.2!$D$26:$D$32</c:f>
              <c:strCache>
                <c:ptCount val="7"/>
                <c:pt idx="0">
                  <c:v>0,019047619</c:v>
                </c:pt>
                <c:pt idx="1">
                  <c:v>0,031746032</c:v>
                </c:pt>
                <c:pt idx="2">
                  <c:v>0,034920635</c:v>
                </c:pt>
                <c:pt idx="3">
                  <c:v>0,028571429</c:v>
                </c:pt>
                <c:pt idx="4">
                  <c:v>0,028571429</c:v>
                </c:pt>
                <c:pt idx="5">
                  <c:v>0,015873016</c:v>
                </c:pt>
                <c:pt idx="6">
                  <c:v>0,041269841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задание3.2!$A$26:$B$32</c:f>
              <c:multiLvlStrCache>
                <c:ptCount val="7"/>
                <c:lvl>
                  <c:pt idx="0">
                    <c:v>25</c:v>
                  </c:pt>
                  <c:pt idx="1">
                    <c:v>30</c:v>
                  </c:pt>
                  <c:pt idx="2">
                    <c:v>35</c:v>
                  </c:pt>
                  <c:pt idx="3">
                    <c:v>40</c:v>
                  </c:pt>
                  <c:pt idx="4">
                    <c:v>45</c:v>
                  </c:pt>
                  <c:pt idx="5">
                    <c:v>50</c:v>
                  </c:pt>
                  <c:pt idx="6">
                    <c:v>55</c:v>
                  </c:pt>
                </c:lvl>
                <c:lvl>
                  <c:pt idx="0">
                    <c:v>20</c:v>
                  </c:pt>
                  <c:pt idx="1">
                    <c:v>25</c:v>
                  </c:pt>
                  <c:pt idx="2">
                    <c:v>30</c:v>
                  </c:pt>
                  <c:pt idx="3">
                    <c:v>35</c:v>
                  </c:pt>
                  <c:pt idx="4">
                    <c:v>40</c:v>
                  </c:pt>
                  <c:pt idx="5">
                    <c:v>45</c:v>
                  </c:pt>
                  <c:pt idx="6">
                    <c:v>50</c:v>
                  </c:pt>
                </c:lvl>
              </c:multiLvlStrCache>
            </c:multiLvlStrRef>
          </c:cat>
          <c:val>
            <c:numRef>
              <c:f>задание3.2!$D$26:$D$32</c:f>
              <c:numCache>
                <c:formatCode>General</c:formatCode>
                <c:ptCount val="7"/>
                <c:pt idx="0">
                  <c:v>1.9047619047619049E-2</c:v>
                </c:pt>
                <c:pt idx="1">
                  <c:v>3.1746031746031744E-2</c:v>
                </c:pt>
                <c:pt idx="2">
                  <c:v>3.4920634920634921E-2</c:v>
                </c:pt>
                <c:pt idx="3">
                  <c:v>2.8571428571428571E-2</c:v>
                </c:pt>
                <c:pt idx="4">
                  <c:v>2.8571428571428571E-2</c:v>
                </c:pt>
                <c:pt idx="5">
                  <c:v>1.5873015873015872E-2</c:v>
                </c:pt>
                <c:pt idx="6">
                  <c:v>4.1269841269841269E-2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F-4062-A6C4-1C0F28FD8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overlap val="-20"/>
        <c:axId val="405854640"/>
        <c:axId val="2034089584"/>
      </c:barChart>
      <c:catAx>
        <c:axId val="40585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4089584"/>
        <c:crosses val="autoZero"/>
        <c:auto val="1"/>
        <c:lblAlgn val="ctr"/>
        <c:lblOffset val="100"/>
        <c:noMultiLvlLbl val="0"/>
      </c:catAx>
      <c:valAx>
        <c:axId val="203408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585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Полигон и гистограмма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задание3.3!$D$9:$E$14</c:f>
              <c:multiLvlStrCache>
                <c:ptCount val="6"/>
                <c:lvl>
                  <c:pt idx="0">
                    <c:v>107,67</c:v>
                  </c:pt>
                  <c:pt idx="1">
                    <c:v>179,33</c:v>
                  </c:pt>
                  <c:pt idx="2">
                    <c:v>251,00</c:v>
                  </c:pt>
                  <c:pt idx="3">
                    <c:v>322,67</c:v>
                  </c:pt>
                  <c:pt idx="4">
                    <c:v>394,33</c:v>
                  </c:pt>
                  <c:pt idx="5">
                    <c:v>466,00</c:v>
                  </c:pt>
                </c:lvl>
                <c:lvl>
                  <c:pt idx="0">
                    <c:v>36,00</c:v>
                  </c:pt>
                  <c:pt idx="1">
                    <c:v>107,67</c:v>
                  </c:pt>
                  <c:pt idx="2">
                    <c:v>179,33</c:v>
                  </c:pt>
                  <c:pt idx="3">
                    <c:v>251,00</c:v>
                  </c:pt>
                  <c:pt idx="4">
                    <c:v>322,67</c:v>
                  </c:pt>
                  <c:pt idx="5">
                    <c:v>394,33</c:v>
                  </c:pt>
                </c:lvl>
              </c:multiLvlStrCache>
            </c:multiLvlStrRef>
          </c:cat>
          <c:val>
            <c:numRef>
              <c:f>задание3.3!$G$9:$G$14</c:f>
              <c:numCache>
                <c:formatCode>General</c:formatCode>
                <c:ptCount val="6"/>
                <c:pt idx="0">
                  <c:v>6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3-4966-8AF0-B11D73085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"/>
        <c:overlap val="-27"/>
        <c:axId val="63229376"/>
        <c:axId val="39249448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задание3.3!$G$9:$G$14</c:f>
              <c:numCache>
                <c:formatCode>General</c:formatCode>
                <c:ptCount val="6"/>
                <c:pt idx="0">
                  <c:v>6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3-4966-8AF0-B11D73085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29376"/>
        <c:axId val="392494480"/>
      </c:lineChart>
      <c:catAx>
        <c:axId val="6322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2494480"/>
        <c:crosses val="autoZero"/>
        <c:auto val="1"/>
        <c:lblAlgn val="ctr"/>
        <c:lblOffset val="100"/>
        <c:noMultiLvlLbl val="0"/>
      </c:catAx>
      <c:valAx>
        <c:axId val="39249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22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эмпирическая функция распределения</a:t>
            </a:r>
            <a:endParaRPr lang="ru-RU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задание3.3!$F$23:$F$29</c:f>
              <c:numCache>
                <c:formatCode>0.00</c:formatCode>
                <c:ptCount val="7"/>
                <c:pt idx="0">
                  <c:v>36</c:v>
                </c:pt>
                <c:pt idx="1">
                  <c:v>107.66666666666667</c:v>
                </c:pt>
                <c:pt idx="2">
                  <c:v>179.33333333333334</c:v>
                </c:pt>
                <c:pt idx="3">
                  <c:v>251</c:v>
                </c:pt>
                <c:pt idx="4">
                  <c:v>322.66666666666669</c:v>
                </c:pt>
                <c:pt idx="5">
                  <c:v>394.33333333333337</c:v>
                </c:pt>
                <c:pt idx="6">
                  <c:v>466.00000000000006</c:v>
                </c:pt>
              </c:numCache>
            </c:numRef>
          </c:xVal>
          <c:yVal>
            <c:numRef>
              <c:f>задание3.3!$H$23:$H$29</c:f>
              <c:numCache>
                <c:formatCode>0.00</c:formatCode>
                <c:ptCount val="7"/>
                <c:pt idx="0">
                  <c:v>3.3333333333333333E-2</c:v>
                </c:pt>
                <c:pt idx="1">
                  <c:v>0.2</c:v>
                </c:pt>
                <c:pt idx="2">
                  <c:v>0.26666666666666666</c:v>
                </c:pt>
                <c:pt idx="3">
                  <c:v>0.4</c:v>
                </c:pt>
                <c:pt idx="4">
                  <c:v>0.46666666666666667</c:v>
                </c:pt>
                <c:pt idx="5">
                  <c:v>0.66666666666666663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45-489B-8ABD-2EA72203E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875472"/>
        <c:axId val="392464720"/>
      </c:scatterChart>
      <c:valAx>
        <c:axId val="204187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2464720"/>
        <c:crosses val="autoZero"/>
        <c:crossBetween val="midCat"/>
      </c:valAx>
      <c:valAx>
        <c:axId val="3924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187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эмпирическая плотность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распределения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981238860775053"/>
          <c:y val="0.15751230202409924"/>
          <c:w val="0.85630724953042126"/>
          <c:h val="0.663997605405295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задание3.3!$A$23:$B$28</c:f>
              <c:multiLvlStrCache>
                <c:ptCount val="6"/>
                <c:lvl>
                  <c:pt idx="0">
                    <c:v>107,67</c:v>
                  </c:pt>
                  <c:pt idx="1">
                    <c:v>179,33</c:v>
                  </c:pt>
                  <c:pt idx="2">
                    <c:v>251,00</c:v>
                  </c:pt>
                  <c:pt idx="3">
                    <c:v>322,67</c:v>
                  </c:pt>
                  <c:pt idx="4">
                    <c:v>394,33</c:v>
                  </c:pt>
                  <c:pt idx="5">
                    <c:v>466,00</c:v>
                  </c:pt>
                </c:lvl>
                <c:lvl>
                  <c:pt idx="0">
                    <c:v>36,00</c:v>
                  </c:pt>
                  <c:pt idx="1">
                    <c:v>107,67</c:v>
                  </c:pt>
                  <c:pt idx="2">
                    <c:v>179,33</c:v>
                  </c:pt>
                  <c:pt idx="3">
                    <c:v>251,00</c:v>
                  </c:pt>
                  <c:pt idx="4">
                    <c:v>322,67</c:v>
                  </c:pt>
                  <c:pt idx="5">
                    <c:v>394,33</c:v>
                  </c:pt>
                </c:lvl>
              </c:multiLvlStrCache>
            </c:multiLvlStrRef>
          </c:cat>
          <c:val>
            <c:numRef>
              <c:f>задание3.3!$D$23:$D$28</c:f>
              <c:numCache>
                <c:formatCode>General</c:formatCode>
                <c:ptCount val="6"/>
                <c:pt idx="0">
                  <c:v>2.7906976744186047E-3</c:v>
                </c:pt>
                <c:pt idx="1">
                  <c:v>9.3023255813953494E-4</c:v>
                </c:pt>
                <c:pt idx="2">
                  <c:v>1.8604651162790699E-3</c:v>
                </c:pt>
                <c:pt idx="3">
                  <c:v>9.3023255813953494E-4</c:v>
                </c:pt>
                <c:pt idx="4">
                  <c:v>2.7906976744186047E-3</c:v>
                </c:pt>
                <c:pt idx="5">
                  <c:v>4.6511627906976744E-3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7-4A61-BB2A-B13043EFA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"/>
        <c:overlap val="-27"/>
        <c:axId val="1310000304"/>
        <c:axId val="392478608"/>
      </c:barChart>
      <c:catAx>
        <c:axId val="131000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2478608"/>
        <c:crosses val="autoZero"/>
        <c:auto val="1"/>
        <c:lblAlgn val="ctr"/>
        <c:lblOffset val="100"/>
        <c:noMultiLvlLbl val="0"/>
      </c:catAx>
      <c:valAx>
        <c:axId val="3924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000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321468</xdr:colOff>
      <xdr:row>6</xdr:row>
      <xdr:rowOff>102394</xdr:rowOff>
    </xdr:from>
    <xdr:to>
      <xdr:col>8</xdr:col>
      <xdr:colOff>359568</xdr:colOff>
      <xdr:row>21</xdr:row>
      <xdr:rowOff>130969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8EE87BA-C173-58DE-7037-2BD76BC60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50004</xdr:colOff>
      <xdr:row>4</xdr:row>
      <xdr:rowOff>21431</xdr:rowOff>
    </xdr:from>
    <xdr:to>
      <xdr:col>13</xdr:col>
      <xdr:colOff>4763</xdr:colOff>
      <xdr:row>19</xdr:row>
      <xdr:rowOff>50006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97012BC-A34F-D777-06A5-61838BF4D2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119061</xdr:colOff>
      <xdr:row>8</xdr:row>
      <xdr:rowOff>50006</xdr:rowOff>
    </xdr:from>
    <xdr:to>
      <xdr:col>10</xdr:col>
      <xdr:colOff>152400</xdr:colOff>
      <xdr:row>22</xdr:row>
      <xdr:rowOff>90488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FFF4815-411B-DFBC-EE5E-A92B3D00C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383380</xdr:colOff>
      <xdr:row>6</xdr:row>
      <xdr:rowOff>97632</xdr:rowOff>
    </xdr:from>
    <xdr:to>
      <xdr:col>17</xdr:col>
      <xdr:colOff>421480</xdr:colOff>
      <xdr:row>23</xdr:row>
      <xdr:rowOff>28575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257FF8F-2A7F-A0F2-A3D7-314B3965E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185738</xdr:colOff>
      <xdr:row>11</xdr:row>
      <xdr:rowOff>23813</xdr:rowOff>
    </xdr:from>
    <xdr:to>
      <xdr:col>13</xdr:col>
      <xdr:colOff>404812</xdr:colOff>
      <xdr:row>22</xdr:row>
      <xdr:rowOff>161926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822E15-96E3-853A-5136-14D436CD9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161925</xdr:colOff>
      <xdr:row>24</xdr:row>
      <xdr:rowOff>38100</xdr:rowOff>
    </xdr:from>
    <xdr:to>
      <xdr:col>14</xdr:col>
      <xdr:colOff>538162</xdr:colOff>
      <xdr:row>36</xdr:row>
      <xdr:rowOff>138113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5CE794A-858C-3F67-53E1-F2A7C20F9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34</xdr:row>
      <xdr:rowOff>73819</xdr:rowOff>
    </xdr:from>
    <xdr:to>
      <xdr:col>6</xdr:col>
      <xdr:colOff>585788</xdr:colOff>
      <xdr:row>48</xdr:row>
      <xdr:rowOff>128588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829A91B-0D50-6103-50E1-44A0D5489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109536</xdr:colOff>
      <xdr:row>7</xdr:row>
      <xdr:rowOff>40481</xdr:rowOff>
    </xdr:from>
    <xdr:to>
      <xdr:col>13</xdr:col>
      <xdr:colOff>576261</xdr:colOff>
      <xdr:row>19</xdr:row>
      <xdr:rowOff>123824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29693B5-C539-ABD9-0C55-66BD02DCC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126205</xdr:colOff>
      <xdr:row>21</xdr:row>
      <xdr:rowOff>50005</xdr:rowOff>
    </xdr:from>
    <xdr:to>
      <xdr:col>14</xdr:col>
      <xdr:colOff>509588</xdr:colOff>
      <xdr:row>33</xdr:row>
      <xdr:rowOff>138112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797F393-3F07-D6BC-BBCA-4CF9AF0ED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31</xdr:row>
      <xdr:rowOff>76199</xdr:rowOff>
    </xdr:from>
    <xdr:to>
      <xdr:col>6</xdr:col>
      <xdr:colOff>640556</xdr:colOff>
      <xdr:row>47</xdr:row>
      <xdr:rowOff>90486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C5FEE059-6369-6B82-6E9C-A4DBCA59C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D1" sqref="D1"/>
    </sheetView>
  </sheetViews>
  <sheetFormatPr defaultRowHeight="14.25" x14ac:dyDescent="0.45"/>
  <cols>
    <col min="1" max="16384" width="9.06640625" style="1"/>
  </cols>
  <sheetData>
    <row r="1" spans="1:7" x14ac:dyDescent="0.45">
      <c r="A1" s="1" t="s">
        <v>2</v>
      </c>
      <c r="C1" s="1" t="s">
        <v>9</v>
      </c>
      <c r="D1" s="1" t="s">
        <v>8</v>
      </c>
      <c r="F1" s="1" t="s">
        <v>0</v>
      </c>
      <c r="G1" s="1" t="s">
        <v>1</v>
      </c>
    </row>
    <row r="2" spans="1:7" x14ac:dyDescent="0.45">
      <c r="A2" s="1">
        <v>4</v>
      </c>
      <c r="C2" s="1">
        <f>MIN(A2:A25)</f>
        <v>0</v>
      </c>
      <c r="D2" s="1">
        <f>MAX(A2:A25)</f>
        <v>4</v>
      </c>
      <c r="F2" s="1">
        <v>0</v>
      </c>
      <c r="G2" s="1">
        <f t="array" ref="G2:G6">FREQUENCY(A2:A25,F2:F6)</f>
        <v>6</v>
      </c>
    </row>
    <row r="3" spans="1:7" x14ac:dyDescent="0.45">
      <c r="A3" s="1">
        <v>0</v>
      </c>
      <c r="F3" s="1">
        <v>1</v>
      </c>
      <c r="G3" s="1">
        <v>7</v>
      </c>
    </row>
    <row r="4" spans="1:7" x14ac:dyDescent="0.45">
      <c r="A4" s="1">
        <v>3</v>
      </c>
      <c r="F4" s="1">
        <v>2</v>
      </c>
      <c r="G4" s="1">
        <v>3</v>
      </c>
    </row>
    <row r="5" spans="1:7" x14ac:dyDescent="0.45">
      <c r="A5" s="1">
        <v>4</v>
      </c>
      <c r="F5" s="1">
        <v>3</v>
      </c>
      <c r="G5" s="1">
        <v>5</v>
      </c>
    </row>
    <row r="6" spans="1:7" x14ac:dyDescent="0.45">
      <c r="A6" s="1">
        <v>1</v>
      </c>
      <c r="F6" s="1">
        <v>4</v>
      </c>
      <c r="G6" s="1">
        <v>3</v>
      </c>
    </row>
    <row r="7" spans="1:7" x14ac:dyDescent="0.45">
      <c r="A7" s="1">
        <v>0</v>
      </c>
    </row>
    <row r="8" spans="1:7" x14ac:dyDescent="0.45">
      <c r="A8" s="1">
        <v>3</v>
      </c>
    </row>
    <row r="9" spans="1:7" x14ac:dyDescent="0.45">
      <c r="A9" s="1">
        <v>1</v>
      </c>
    </row>
    <row r="10" spans="1:7" x14ac:dyDescent="0.45">
      <c r="A10" s="1">
        <v>0</v>
      </c>
    </row>
    <row r="11" spans="1:7" x14ac:dyDescent="0.45">
      <c r="A11" s="1">
        <v>4</v>
      </c>
    </row>
    <row r="12" spans="1:7" x14ac:dyDescent="0.45">
      <c r="A12" s="1">
        <v>0</v>
      </c>
    </row>
    <row r="13" spans="1:7" x14ac:dyDescent="0.45">
      <c r="A13" s="1">
        <v>0</v>
      </c>
    </row>
    <row r="14" spans="1:7" x14ac:dyDescent="0.45">
      <c r="A14" s="1">
        <v>3</v>
      </c>
    </row>
    <row r="15" spans="1:7" x14ac:dyDescent="0.45">
      <c r="A15" s="1">
        <v>1</v>
      </c>
    </row>
    <row r="16" spans="1:7" x14ac:dyDescent="0.45">
      <c r="A16" s="1">
        <v>0</v>
      </c>
    </row>
    <row r="17" spans="1:1" x14ac:dyDescent="0.45">
      <c r="A17" s="1">
        <v>1</v>
      </c>
    </row>
    <row r="18" spans="1:1" x14ac:dyDescent="0.45">
      <c r="A18" s="1">
        <v>1</v>
      </c>
    </row>
    <row r="19" spans="1:1" x14ac:dyDescent="0.45">
      <c r="A19" s="1">
        <v>3</v>
      </c>
    </row>
    <row r="20" spans="1:1" x14ac:dyDescent="0.45">
      <c r="A20" s="1">
        <v>2</v>
      </c>
    </row>
    <row r="21" spans="1:1" x14ac:dyDescent="0.45">
      <c r="A21" s="1">
        <v>3</v>
      </c>
    </row>
    <row r="22" spans="1:1" x14ac:dyDescent="0.45">
      <c r="A22" s="1">
        <v>1</v>
      </c>
    </row>
    <row r="23" spans="1:1" x14ac:dyDescent="0.45">
      <c r="A23" s="1">
        <v>2</v>
      </c>
    </row>
    <row r="24" spans="1:1" x14ac:dyDescent="0.45">
      <c r="A24" s="1">
        <v>1</v>
      </c>
    </row>
    <row r="25" spans="1:1" x14ac:dyDescent="0.45">
      <c r="A25" s="1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845F-98E9-4C12-A45F-F33AEF17E580}">
  <dimension ref="A1:S30"/>
  <sheetViews>
    <sheetView workbookViewId="0">
      <selection activeCell="I26" sqref="I26"/>
    </sheetView>
  </sheetViews>
  <sheetFormatPr defaultColWidth="9.59765625" defaultRowHeight="14.25" x14ac:dyDescent="0.45"/>
  <cols>
    <col min="1" max="4" width="9.59765625" style="1"/>
    <col min="5" max="5" width="10.19921875" style="1" customWidth="1"/>
    <col min="6" max="6" width="11.46484375" style="1" customWidth="1"/>
    <col min="7" max="7" width="11.796875" style="1" customWidth="1"/>
    <col min="8" max="16384" width="9.59765625" style="1"/>
  </cols>
  <sheetData>
    <row r="1" spans="1:19" x14ac:dyDescent="0.45">
      <c r="A1" s="1">
        <v>12</v>
      </c>
      <c r="B1" s="1">
        <v>6</v>
      </c>
      <c r="C1" s="1">
        <v>8</v>
      </c>
      <c r="D1" s="1">
        <v>6</v>
      </c>
      <c r="E1" s="1">
        <v>10</v>
      </c>
      <c r="F1" s="1">
        <v>11</v>
      </c>
      <c r="G1" s="1">
        <v>7</v>
      </c>
      <c r="H1" s="1">
        <v>10</v>
      </c>
      <c r="I1" s="1">
        <v>12</v>
      </c>
      <c r="J1" s="1">
        <v>8</v>
      </c>
      <c r="K1" s="1">
        <v>7</v>
      </c>
      <c r="L1" s="1">
        <v>7</v>
      </c>
      <c r="M1" s="1">
        <v>6</v>
      </c>
      <c r="N1" s="1">
        <v>7</v>
      </c>
      <c r="O1" s="1">
        <v>8</v>
      </c>
      <c r="P1" s="1">
        <v>6</v>
      </c>
      <c r="Q1" s="1">
        <v>11</v>
      </c>
      <c r="R1" s="1">
        <v>9</v>
      </c>
      <c r="S1" s="1">
        <v>11</v>
      </c>
    </row>
    <row r="2" spans="1:19" x14ac:dyDescent="0.45">
      <c r="A2" s="1">
        <v>9</v>
      </c>
      <c r="B2" s="1">
        <v>10</v>
      </c>
      <c r="C2" s="1">
        <v>11</v>
      </c>
      <c r="D2" s="1">
        <v>9</v>
      </c>
      <c r="E2" s="1">
        <v>10</v>
      </c>
      <c r="F2" s="1">
        <v>7</v>
      </c>
      <c r="G2" s="1">
        <v>8</v>
      </c>
      <c r="H2" s="1">
        <v>8</v>
      </c>
      <c r="I2" s="1">
        <v>8</v>
      </c>
      <c r="J2" s="1">
        <v>11</v>
      </c>
      <c r="K2" s="1">
        <v>9</v>
      </c>
      <c r="L2" s="1">
        <v>8</v>
      </c>
      <c r="M2" s="1">
        <v>7</v>
      </c>
      <c r="N2" s="1">
        <v>5</v>
      </c>
      <c r="O2" s="1">
        <v>9</v>
      </c>
      <c r="P2" s="1">
        <v>7</v>
      </c>
      <c r="Q2" s="1">
        <v>7</v>
      </c>
      <c r="R2" s="1">
        <v>14</v>
      </c>
      <c r="S2" s="1">
        <v>11</v>
      </c>
    </row>
    <row r="3" spans="1:19" x14ac:dyDescent="0.45">
      <c r="A3" s="1">
        <v>9</v>
      </c>
      <c r="B3" s="1">
        <v>8</v>
      </c>
      <c r="C3" s="1">
        <v>7</v>
      </c>
      <c r="D3" s="1">
        <v>4</v>
      </c>
      <c r="E3" s="1">
        <v>7</v>
      </c>
      <c r="F3" s="1">
        <v>5</v>
      </c>
      <c r="G3" s="1">
        <v>5</v>
      </c>
      <c r="H3" s="1">
        <v>10</v>
      </c>
      <c r="I3" s="1">
        <v>7</v>
      </c>
      <c r="J3" s="1">
        <v>7</v>
      </c>
      <c r="K3" s="1">
        <v>5</v>
      </c>
      <c r="L3" s="1">
        <v>8</v>
      </c>
      <c r="M3" s="1">
        <v>10</v>
      </c>
      <c r="N3" s="1">
        <v>10</v>
      </c>
      <c r="O3" s="1">
        <v>15</v>
      </c>
      <c r="P3" s="1">
        <v>10</v>
      </c>
      <c r="Q3" s="1">
        <v>10</v>
      </c>
      <c r="R3" s="1">
        <v>13</v>
      </c>
      <c r="S3" s="1">
        <v>12</v>
      </c>
    </row>
    <row r="4" spans="1:19" x14ac:dyDescent="0.45">
      <c r="A4" s="1">
        <v>11</v>
      </c>
      <c r="B4" s="1">
        <v>15</v>
      </c>
      <c r="C4" s="1">
        <v>6</v>
      </c>
    </row>
    <row r="6" spans="1:19" x14ac:dyDescent="0.45">
      <c r="A6" s="1" t="s">
        <v>8</v>
      </c>
      <c r="B6" s="1">
        <f>MAX(A1:S4)</f>
        <v>15</v>
      </c>
    </row>
    <row r="7" spans="1:19" x14ac:dyDescent="0.45">
      <c r="A7" s="1" t="s">
        <v>9</v>
      </c>
      <c r="B7" s="1">
        <f>MIN(A1:S4)</f>
        <v>4</v>
      </c>
    </row>
    <row r="9" spans="1:19" x14ac:dyDescent="0.45">
      <c r="A9" s="1" t="s">
        <v>3</v>
      </c>
      <c r="B9" s="1">
        <v>60</v>
      </c>
    </row>
    <row r="11" spans="1:19" x14ac:dyDescent="0.45">
      <c r="A11" s="1" t="s">
        <v>4</v>
      </c>
      <c r="B11" s="1">
        <f>1+1.4*LN(B9)</f>
        <v>6.7320823871109399</v>
      </c>
      <c r="E11" s="3"/>
    </row>
    <row r="12" spans="1:19" x14ac:dyDescent="0.45">
      <c r="B12" s="1">
        <v>7</v>
      </c>
    </row>
    <row r="14" spans="1:19" x14ac:dyDescent="0.45">
      <c r="A14" s="2" t="s">
        <v>5</v>
      </c>
      <c r="B14" s="1">
        <f>(B6-B7)/B12</f>
        <v>1.5714285714285714</v>
      </c>
    </row>
    <row r="16" spans="1:19" x14ac:dyDescent="0.45">
      <c r="C16" s="5" t="s">
        <v>6</v>
      </c>
      <c r="D16" s="5"/>
      <c r="F16" s="1" t="s">
        <v>7</v>
      </c>
    </row>
    <row r="17" spans="3:9" x14ac:dyDescent="0.45">
      <c r="C17" s="3">
        <v>4</v>
      </c>
      <c r="D17" s="3">
        <f>C17+$B$14</f>
        <v>5.5714285714285712</v>
      </c>
      <c r="E17" s="4">
        <f>5.57-0.001</f>
        <v>5.569</v>
      </c>
      <c r="F17" s="1">
        <f t="array" ref="F17:F23">FREQUENCY(A1:S5,E17:E23)</f>
        <v>5</v>
      </c>
    </row>
    <row r="18" spans="3:9" x14ac:dyDescent="0.45">
      <c r="C18" s="3">
        <f>D17</f>
        <v>5.5714285714285712</v>
      </c>
      <c r="D18" s="3">
        <f>C18+$B$14</f>
        <v>7.1428571428571423</v>
      </c>
      <c r="E18" s="4">
        <f>7.14-0.001</f>
        <v>7.1389999999999993</v>
      </c>
      <c r="F18" s="1">
        <v>17</v>
      </c>
    </row>
    <row r="19" spans="3:9" x14ac:dyDescent="0.45">
      <c r="C19" s="3">
        <f t="shared" ref="C19:C23" si="0">D18</f>
        <v>7.1428571428571423</v>
      </c>
      <c r="D19" s="3">
        <f t="shared" ref="D19:D23" si="1">C19+$B$14</f>
        <v>8.7142857142857135</v>
      </c>
      <c r="E19" s="4">
        <f>8.71-0.001</f>
        <v>8.7090000000000014</v>
      </c>
      <c r="F19" s="1">
        <v>9</v>
      </c>
    </row>
    <row r="20" spans="3:9" x14ac:dyDescent="0.45">
      <c r="C20" s="3">
        <f t="shared" si="0"/>
        <v>8.7142857142857135</v>
      </c>
      <c r="D20" s="3">
        <f t="shared" si="1"/>
        <v>10.285714285714285</v>
      </c>
      <c r="E20" s="4">
        <f>10.29-0.001</f>
        <v>10.289</v>
      </c>
      <c r="F20" s="1">
        <v>15</v>
      </c>
    </row>
    <row r="21" spans="3:9" x14ac:dyDescent="0.45">
      <c r="C21" s="3">
        <f t="shared" si="0"/>
        <v>10.285714285714285</v>
      </c>
      <c r="D21" s="3">
        <f t="shared" si="1"/>
        <v>11.857142857142856</v>
      </c>
      <c r="E21" s="4">
        <f>11.86-0.001</f>
        <v>11.859</v>
      </c>
      <c r="F21" s="1">
        <v>7</v>
      </c>
    </row>
    <row r="22" spans="3:9" x14ac:dyDescent="0.45">
      <c r="C22" s="3">
        <f t="shared" si="0"/>
        <v>11.857142857142856</v>
      </c>
      <c r="D22" s="3">
        <f t="shared" si="1"/>
        <v>13.428571428571427</v>
      </c>
      <c r="E22" s="4">
        <f>13.43-0.001</f>
        <v>13.429</v>
      </c>
      <c r="F22" s="1">
        <v>4</v>
      </c>
    </row>
    <row r="23" spans="3:9" x14ac:dyDescent="0.45">
      <c r="C23" s="3">
        <f t="shared" si="0"/>
        <v>13.428571428571427</v>
      </c>
      <c r="D23" s="3">
        <f t="shared" si="1"/>
        <v>14.999999999999998</v>
      </c>
      <c r="E23" s="4">
        <f>15+0.001</f>
        <v>15.000999999999999</v>
      </c>
      <c r="F23" s="1">
        <v>3</v>
      </c>
    </row>
    <row r="24" spans="3:9" x14ac:dyDescent="0.45">
      <c r="F24" s="1">
        <f>SUM(F17:F23)</f>
        <v>60</v>
      </c>
      <c r="H24" s="3"/>
      <c r="I24" s="3"/>
    </row>
    <row r="25" spans="3:9" x14ac:dyDescent="0.45">
      <c r="H25" s="3"/>
      <c r="I25" s="3"/>
    </row>
    <row r="26" spans="3:9" x14ac:dyDescent="0.45">
      <c r="H26" s="3"/>
      <c r="I26" s="3"/>
    </row>
    <row r="27" spans="3:9" x14ac:dyDescent="0.45">
      <c r="H27" s="3"/>
      <c r="I27" s="3"/>
    </row>
    <row r="28" spans="3:9" x14ac:dyDescent="0.45">
      <c r="H28" s="3"/>
      <c r="I28" s="3"/>
    </row>
    <row r="29" spans="3:9" x14ac:dyDescent="0.45">
      <c r="H29" s="3"/>
      <c r="I29" s="3"/>
    </row>
    <row r="30" spans="3:9" x14ac:dyDescent="0.45">
      <c r="H30" s="3"/>
      <c r="I30" s="3"/>
    </row>
  </sheetData>
  <mergeCells count="1">
    <mergeCell ref="C16:D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CC82-0D11-448B-A26D-C33C4FAA19EB}">
  <dimension ref="A1:Q22"/>
  <sheetViews>
    <sheetView workbookViewId="0">
      <selection activeCell="B22" sqref="B22"/>
    </sheetView>
  </sheetViews>
  <sheetFormatPr defaultRowHeight="14.25" x14ac:dyDescent="0.45"/>
  <sheetData>
    <row r="1" spans="1:17" ht="25.15" customHeight="1" x14ac:dyDescent="0.45">
      <c r="A1" s="19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7" ht="11.65" customHeight="1" x14ac:dyDescent="0.45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7" x14ac:dyDescent="0.45">
      <c r="A3" s="1">
        <v>4</v>
      </c>
      <c r="B3" s="1">
        <v>2</v>
      </c>
      <c r="C3" s="1">
        <v>3</v>
      </c>
      <c r="D3" s="1">
        <v>2</v>
      </c>
      <c r="E3" s="1">
        <v>4</v>
      </c>
      <c r="F3" s="1">
        <v>3</v>
      </c>
      <c r="G3" s="1">
        <v>5</v>
      </c>
      <c r="H3" s="1">
        <v>2</v>
      </c>
      <c r="I3" s="1">
        <v>5</v>
      </c>
      <c r="J3" s="1"/>
    </row>
    <row r="4" spans="1:17" x14ac:dyDescent="0.45">
      <c r="A4" s="1">
        <v>3</v>
      </c>
      <c r="B4" s="1">
        <v>2</v>
      </c>
      <c r="C4" s="1">
        <v>3</v>
      </c>
      <c r="D4" s="1">
        <v>5</v>
      </c>
      <c r="E4" s="1">
        <v>4</v>
      </c>
      <c r="F4" s="1">
        <v>3</v>
      </c>
      <c r="G4" s="1">
        <v>4</v>
      </c>
      <c r="H4" s="1">
        <v>2</v>
      </c>
      <c r="I4" s="1">
        <v>5</v>
      </c>
      <c r="J4" s="1"/>
    </row>
    <row r="5" spans="1:17" x14ac:dyDescent="0.45">
      <c r="A5" s="1">
        <v>5</v>
      </c>
      <c r="B5" s="1">
        <v>2</v>
      </c>
      <c r="C5" s="1">
        <v>3</v>
      </c>
      <c r="D5" s="1">
        <v>3</v>
      </c>
      <c r="E5" s="1">
        <v>4</v>
      </c>
      <c r="F5" s="1">
        <v>2</v>
      </c>
      <c r="G5" s="1">
        <v>3</v>
      </c>
      <c r="H5" s="1">
        <v>3</v>
      </c>
      <c r="I5" s="1">
        <v>5</v>
      </c>
      <c r="J5" s="1"/>
    </row>
    <row r="6" spans="1:17" x14ac:dyDescent="0.45">
      <c r="A6" s="1">
        <v>3</v>
      </c>
      <c r="B6" s="1">
        <v>2</v>
      </c>
      <c r="C6" s="1">
        <v>2</v>
      </c>
      <c r="D6" s="1">
        <v>3</v>
      </c>
      <c r="E6" s="1">
        <v>3</v>
      </c>
      <c r="F6" s="1">
        <v>4</v>
      </c>
      <c r="G6" s="1">
        <v>2</v>
      </c>
      <c r="H6" s="1">
        <v>5</v>
      </c>
      <c r="I6" s="1">
        <v>5</v>
      </c>
      <c r="J6" s="1"/>
    </row>
    <row r="7" spans="1:17" x14ac:dyDescent="0.45">
      <c r="A7" s="1">
        <v>4</v>
      </c>
      <c r="B7" s="1">
        <v>4</v>
      </c>
      <c r="C7" s="1">
        <v>3</v>
      </c>
      <c r="D7" s="1">
        <v>3</v>
      </c>
      <c r="E7" s="1">
        <v>2</v>
      </c>
      <c r="F7" s="1">
        <v>2</v>
      </c>
      <c r="G7" s="1">
        <v>2</v>
      </c>
      <c r="H7" s="1">
        <v>3</v>
      </c>
      <c r="I7" s="1">
        <v>5</v>
      </c>
      <c r="J7" s="1"/>
    </row>
    <row r="8" spans="1:17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45">
      <c r="A9" s="1" t="s">
        <v>8</v>
      </c>
      <c r="B9" s="1">
        <f>MAX(A3:I7)</f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45">
      <c r="A10" s="1" t="s">
        <v>9</v>
      </c>
      <c r="B10" s="1">
        <f>MIN(A3:I7)</f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45">
      <c r="A12" s="1" t="s">
        <v>10</v>
      </c>
      <c r="B12" s="1" t="s">
        <v>11</v>
      </c>
      <c r="C12" s="1" t="s">
        <v>12</v>
      </c>
      <c r="D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45">
      <c r="A13" s="1">
        <v>2</v>
      </c>
      <c r="B13" s="1">
        <f t="array" ref="B13:B16">FREQUENCY(A3:I7,A13:A16)</f>
        <v>13</v>
      </c>
      <c r="C13" s="1">
        <f>SUM($B$13:B13)</f>
        <v>13</v>
      </c>
      <c r="D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45">
      <c r="A14" s="1">
        <v>3</v>
      </c>
      <c r="B14" s="1">
        <v>15</v>
      </c>
      <c r="C14" s="1">
        <f>SUM($B$13:B14)</f>
        <v>28</v>
      </c>
      <c r="D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45">
      <c r="A15" s="1">
        <v>4</v>
      </c>
      <c r="B15" s="1">
        <v>8</v>
      </c>
      <c r="C15" s="1">
        <f>SUM($B$13:B15)</f>
        <v>36</v>
      </c>
      <c r="D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45">
      <c r="A16" s="1">
        <v>5</v>
      </c>
      <c r="B16" s="1">
        <v>9</v>
      </c>
      <c r="C16" s="1">
        <f>SUM($B$13:B16)</f>
        <v>45</v>
      </c>
      <c r="D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45">
      <c r="A17" s="1"/>
      <c r="B17" s="1">
        <f>SUM(B13:B16)</f>
        <v>45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</sheetData>
  <mergeCells count="1">
    <mergeCell ref="A1:P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83C5-2129-4247-90E9-68A4A1873D74}">
  <dimension ref="A1:Q182"/>
  <sheetViews>
    <sheetView workbookViewId="0">
      <selection activeCell="P19" sqref="P19"/>
    </sheetView>
  </sheetViews>
  <sheetFormatPr defaultRowHeight="14.25" x14ac:dyDescent="0.45"/>
  <sheetData>
    <row r="1" spans="1:17" x14ac:dyDescent="0.45">
      <c r="A1" s="11" t="s">
        <v>19</v>
      </c>
      <c r="B1" s="11"/>
      <c r="C1" s="11"/>
      <c r="D1" s="11"/>
      <c r="E1" s="11"/>
      <c r="F1" s="11"/>
      <c r="G1" s="11"/>
      <c r="H1" s="11"/>
      <c r="I1" s="11"/>
    </row>
    <row r="2" spans="1:17" x14ac:dyDescent="0.45">
      <c r="A2" s="11"/>
      <c r="B2" s="11"/>
      <c r="C2" s="11"/>
      <c r="D2" s="11"/>
      <c r="E2" s="11"/>
      <c r="F2" s="11"/>
      <c r="G2" s="11"/>
      <c r="H2" s="11"/>
      <c r="I2" s="11"/>
    </row>
    <row r="3" spans="1:17" x14ac:dyDescent="0.45">
      <c r="A3" s="11"/>
      <c r="B3" s="11"/>
      <c r="C3" s="11"/>
      <c r="D3" s="11"/>
      <c r="E3" s="11"/>
      <c r="F3" s="11"/>
      <c r="G3" s="11"/>
      <c r="H3" s="11"/>
      <c r="I3" s="11"/>
    </row>
    <row r="4" spans="1:17" x14ac:dyDescent="0.45">
      <c r="A4" s="1">
        <v>51</v>
      </c>
      <c r="B4" s="1">
        <v>52</v>
      </c>
      <c r="C4" s="1">
        <v>32</v>
      </c>
      <c r="D4" s="1">
        <v>30</v>
      </c>
      <c r="E4" s="1">
        <v>42</v>
      </c>
      <c r="F4" s="1">
        <v>34</v>
      </c>
      <c r="G4" s="1">
        <v>34</v>
      </c>
      <c r="H4" s="1">
        <v>26</v>
      </c>
      <c r="I4" s="1">
        <v>53</v>
      </c>
    </row>
    <row r="5" spans="1:17" x14ac:dyDescent="0.45">
      <c r="A5" s="1">
        <v>28</v>
      </c>
      <c r="B5" s="1">
        <v>20</v>
      </c>
      <c r="C5" s="1">
        <v>36</v>
      </c>
      <c r="D5" s="1">
        <v>53</v>
      </c>
      <c r="E5" s="1">
        <v>26</v>
      </c>
      <c r="F5" s="1">
        <v>37</v>
      </c>
      <c r="G5" s="1">
        <v>49</v>
      </c>
      <c r="H5" s="1">
        <v>30</v>
      </c>
      <c r="I5" s="1">
        <v>29</v>
      </c>
    </row>
    <row r="6" spans="1:17" x14ac:dyDescent="0.45">
      <c r="A6" s="1">
        <v>36</v>
      </c>
      <c r="B6" s="1">
        <v>29</v>
      </c>
      <c r="C6" s="1">
        <v>47</v>
      </c>
      <c r="D6" s="1">
        <v>38</v>
      </c>
      <c r="E6" s="1">
        <v>43</v>
      </c>
      <c r="F6" s="1">
        <v>33</v>
      </c>
      <c r="G6" s="1">
        <v>55</v>
      </c>
      <c r="H6" s="1">
        <v>39</v>
      </c>
      <c r="I6" s="1">
        <v>46</v>
      </c>
    </row>
    <row r="7" spans="1:17" x14ac:dyDescent="0.45">
      <c r="A7" s="1">
        <v>30</v>
      </c>
      <c r="B7" s="1">
        <v>21</v>
      </c>
      <c r="C7" s="1">
        <v>49</v>
      </c>
      <c r="D7" s="1">
        <v>46</v>
      </c>
      <c r="E7" s="1">
        <v>36</v>
      </c>
      <c r="F7" s="1">
        <v>54</v>
      </c>
      <c r="G7" s="1">
        <v>41</v>
      </c>
      <c r="H7" s="1">
        <v>42</v>
      </c>
      <c r="I7" s="1">
        <v>39</v>
      </c>
    </row>
    <row r="8" spans="1:17" x14ac:dyDescent="0.45">
      <c r="A8" s="1">
        <v>52</v>
      </c>
      <c r="B8" s="1">
        <v>26</v>
      </c>
      <c r="C8" s="1">
        <v>44</v>
      </c>
      <c r="D8" s="1">
        <v>41</v>
      </c>
      <c r="E8" s="1">
        <v>29</v>
      </c>
      <c r="F8" s="1">
        <v>53</v>
      </c>
      <c r="G8" s="1">
        <v>51</v>
      </c>
      <c r="H8" s="1">
        <v>42</v>
      </c>
      <c r="I8" s="1">
        <v>52</v>
      </c>
    </row>
    <row r="9" spans="1:17" x14ac:dyDescent="0.45">
      <c r="A9" s="1">
        <v>24</v>
      </c>
      <c r="B9" s="1">
        <v>30</v>
      </c>
      <c r="C9" s="1">
        <v>31</v>
      </c>
      <c r="D9" s="1">
        <v>25</v>
      </c>
      <c r="E9" s="1">
        <v>29</v>
      </c>
      <c r="F9" s="1">
        <v>53</v>
      </c>
      <c r="G9" s="1">
        <v>33</v>
      </c>
      <c r="H9" s="1">
        <v>50</v>
      </c>
      <c r="I9" s="1">
        <v>40</v>
      </c>
    </row>
    <row r="10" spans="1:17" x14ac:dyDescent="0.45">
      <c r="A10" s="1">
        <v>24</v>
      </c>
      <c r="B10" s="1">
        <v>35</v>
      </c>
      <c r="C10" s="1">
        <v>42</v>
      </c>
      <c r="D10" s="1">
        <v>29</v>
      </c>
      <c r="E10" s="1">
        <v>22</v>
      </c>
      <c r="F10" s="1">
        <v>23</v>
      </c>
      <c r="G10" s="1">
        <v>30</v>
      </c>
      <c r="H10" s="1">
        <v>51</v>
      </c>
      <c r="I10" s="1">
        <v>39</v>
      </c>
    </row>
    <row r="11" spans="1:17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45">
      <c r="A12" s="1" t="s">
        <v>8</v>
      </c>
      <c r="B12" s="1">
        <f>MAX(A4:I10)</f>
        <v>55</v>
      </c>
      <c r="C12" s="1"/>
      <c r="D12" s="6" t="s">
        <v>6</v>
      </c>
      <c r="E12" s="6"/>
      <c r="F12" s="7"/>
      <c r="G12" s="7" t="s">
        <v>7</v>
      </c>
      <c r="H12" s="7"/>
      <c r="I12" s="7"/>
      <c r="J12" s="7"/>
      <c r="K12" s="7"/>
      <c r="L12" s="7"/>
      <c r="M12" s="7"/>
      <c r="N12" s="7"/>
      <c r="P12" s="1"/>
      <c r="Q12" s="1"/>
    </row>
    <row r="13" spans="1:17" x14ac:dyDescent="0.45">
      <c r="A13" s="1" t="s">
        <v>9</v>
      </c>
      <c r="B13" s="1">
        <f>MIN(A4:I10)</f>
        <v>20</v>
      </c>
      <c r="C13" s="1"/>
      <c r="D13" s="7">
        <v>20</v>
      </c>
      <c r="E13" s="7">
        <f>D13+$B$20</f>
        <v>25</v>
      </c>
      <c r="F13" s="7">
        <f>E13-0.01</f>
        <v>24.99</v>
      </c>
      <c r="G13" s="7">
        <f t="array" ref="G13:G19">FREQUENCY(A4:I10,F13:F19)</f>
        <v>6</v>
      </c>
      <c r="H13" s="7"/>
      <c r="I13" s="7"/>
      <c r="J13" s="7"/>
      <c r="K13" s="7"/>
      <c r="L13" s="7"/>
      <c r="M13" s="7"/>
      <c r="N13" s="7"/>
      <c r="P13" s="1"/>
      <c r="Q13" s="1"/>
    </row>
    <row r="14" spans="1:17" x14ac:dyDescent="0.45">
      <c r="A14" s="1"/>
      <c r="B14" s="1"/>
      <c r="C14" s="1"/>
      <c r="D14" s="7">
        <f>E13</f>
        <v>25</v>
      </c>
      <c r="E14" s="7">
        <f>D14+$B$20</f>
        <v>30</v>
      </c>
      <c r="F14" s="7">
        <f t="shared" ref="F14:F18" si="0">E14-0.01</f>
        <v>29.99</v>
      </c>
      <c r="G14" s="7">
        <v>10</v>
      </c>
      <c r="H14" s="7"/>
      <c r="I14" s="7"/>
      <c r="J14" s="7"/>
      <c r="K14" s="7"/>
      <c r="L14" s="7"/>
      <c r="M14" s="7"/>
      <c r="N14" s="7"/>
      <c r="P14" s="1"/>
      <c r="Q14" s="1"/>
    </row>
    <row r="15" spans="1:17" x14ac:dyDescent="0.45">
      <c r="A15" s="1" t="s">
        <v>3</v>
      </c>
      <c r="B15" s="1">
        <v>63</v>
      </c>
      <c r="C15" s="1"/>
      <c r="D15" s="7">
        <f t="shared" ref="D15:D19" si="1">E14</f>
        <v>30</v>
      </c>
      <c r="E15" s="7">
        <f t="shared" ref="E15:E19" si="2">D15+$B$20</f>
        <v>35</v>
      </c>
      <c r="F15" s="7">
        <f t="shared" si="0"/>
        <v>34.99</v>
      </c>
      <c r="G15" s="7">
        <v>11</v>
      </c>
      <c r="H15" s="7"/>
      <c r="I15" s="7"/>
      <c r="J15" s="7"/>
      <c r="K15" s="7"/>
      <c r="L15" s="7"/>
      <c r="M15" s="7"/>
      <c r="N15" s="7"/>
      <c r="P15" s="1"/>
      <c r="Q15" s="1"/>
    </row>
    <row r="16" spans="1:17" x14ac:dyDescent="0.45">
      <c r="A16" s="1"/>
      <c r="B16" s="1"/>
      <c r="C16" s="1"/>
      <c r="D16" s="7">
        <f t="shared" si="1"/>
        <v>35</v>
      </c>
      <c r="E16" s="7">
        <f t="shared" si="2"/>
        <v>40</v>
      </c>
      <c r="F16" s="7">
        <f t="shared" si="0"/>
        <v>39.99</v>
      </c>
      <c r="G16" s="7">
        <v>9</v>
      </c>
      <c r="H16" s="7"/>
      <c r="I16" s="7"/>
      <c r="J16" s="7"/>
      <c r="K16" s="7"/>
      <c r="L16" s="7"/>
      <c r="M16" s="7"/>
      <c r="N16" s="7"/>
      <c r="P16" s="1"/>
      <c r="Q16" s="1"/>
    </row>
    <row r="17" spans="1:17" x14ac:dyDescent="0.45">
      <c r="A17" s="1" t="s">
        <v>4</v>
      </c>
      <c r="B17" s="1">
        <f>1+1.4*LN(B15)</f>
        <v>6.8003886169481449</v>
      </c>
      <c r="C17" s="1"/>
      <c r="D17" s="7">
        <f t="shared" si="1"/>
        <v>40</v>
      </c>
      <c r="E17" s="7">
        <f t="shared" si="2"/>
        <v>45</v>
      </c>
      <c r="F17" s="7">
        <f t="shared" si="0"/>
        <v>44.99</v>
      </c>
      <c r="G17" s="7">
        <v>9</v>
      </c>
      <c r="H17" s="7"/>
      <c r="I17" s="7"/>
      <c r="J17" s="7"/>
      <c r="K17" s="7"/>
      <c r="L17" s="7"/>
      <c r="M17" s="7"/>
      <c r="N17" s="7"/>
      <c r="P17" s="1"/>
      <c r="Q17" s="1"/>
    </row>
    <row r="18" spans="1:17" x14ac:dyDescent="0.45">
      <c r="A18" s="1"/>
      <c r="B18" s="1">
        <v>7</v>
      </c>
      <c r="C18" s="1"/>
      <c r="D18" s="7">
        <f t="shared" si="1"/>
        <v>45</v>
      </c>
      <c r="E18" s="7">
        <f t="shared" si="2"/>
        <v>50</v>
      </c>
      <c r="F18" s="7">
        <f t="shared" si="0"/>
        <v>49.99</v>
      </c>
      <c r="G18" s="7">
        <v>5</v>
      </c>
      <c r="H18" s="7"/>
      <c r="I18" s="7"/>
      <c r="J18" s="7"/>
      <c r="K18" s="7"/>
      <c r="L18" s="7"/>
      <c r="M18" s="7"/>
      <c r="N18" s="7"/>
      <c r="P18" s="1"/>
      <c r="Q18" s="1"/>
    </row>
    <row r="19" spans="1:17" x14ac:dyDescent="0.45">
      <c r="A19" s="1"/>
      <c r="B19" s="1"/>
      <c r="C19" s="1"/>
      <c r="D19" s="7">
        <f t="shared" si="1"/>
        <v>50</v>
      </c>
      <c r="E19" s="7">
        <f t="shared" si="2"/>
        <v>55</v>
      </c>
      <c r="F19" s="7">
        <f t="shared" ref="F14:F19" si="3">E19+0.01</f>
        <v>55.01</v>
      </c>
      <c r="G19" s="7">
        <v>13</v>
      </c>
      <c r="H19" s="7"/>
      <c r="I19" s="7"/>
      <c r="J19" s="7"/>
      <c r="K19" s="7"/>
      <c r="L19" s="7"/>
      <c r="M19" s="7"/>
      <c r="N19" s="7"/>
      <c r="P19" s="1"/>
      <c r="Q19" s="1"/>
    </row>
    <row r="20" spans="1:17" x14ac:dyDescent="0.45">
      <c r="A20" s="1" t="s">
        <v>5</v>
      </c>
      <c r="B20" s="1">
        <f>(B12-B13)/B18</f>
        <v>5</v>
      </c>
      <c r="C20" s="1"/>
      <c r="D20" s="7"/>
      <c r="E20" s="7"/>
      <c r="F20" s="7"/>
      <c r="G20" s="7">
        <f>SUM(G13:G19)</f>
        <v>63</v>
      </c>
      <c r="H20" s="7"/>
      <c r="I20" s="7"/>
      <c r="J20" s="7"/>
      <c r="K20" s="7"/>
      <c r="L20" s="7"/>
      <c r="M20" s="7"/>
      <c r="N20" s="7"/>
      <c r="P20" s="1"/>
      <c r="Q20" s="1"/>
    </row>
    <row r="21" spans="1:17" x14ac:dyDescent="0.45">
      <c r="A21" s="1"/>
      <c r="B21" s="1"/>
      <c r="C21" s="1"/>
      <c r="H21" s="7"/>
      <c r="I21" s="7"/>
      <c r="J21" s="7"/>
      <c r="K21" s="7"/>
      <c r="L21" s="7"/>
      <c r="M21" s="7"/>
      <c r="N21" s="7"/>
      <c r="P21" s="1"/>
      <c r="Q21" s="1"/>
    </row>
    <row r="22" spans="1:17" x14ac:dyDescent="0.45">
      <c r="A22" s="1"/>
      <c r="B22" s="1"/>
      <c r="C22" s="1"/>
      <c r="H22" s="7"/>
      <c r="I22" s="7"/>
      <c r="J22" s="7"/>
      <c r="K22" s="7"/>
      <c r="L22" s="7"/>
      <c r="M22" s="7"/>
      <c r="N22" s="7"/>
      <c r="P22" s="1"/>
      <c r="Q22" s="1"/>
    </row>
    <row r="23" spans="1:17" x14ac:dyDescent="0.45">
      <c r="A23" s="1"/>
      <c r="B23" s="1"/>
      <c r="C23" s="1"/>
      <c r="H23" s="7"/>
      <c r="I23" s="7"/>
      <c r="J23" s="7"/>
      <c r="K23" s="7"/>
      <c r="L23" s="7"/>
      <c r="M23" s="7"/>
      <c r="N23" s="7"/>
      <c r="P23" s="1"/>
      <c r="Q23" s="1"/>
    </row>
    <row r="24" spans="1:17" x14ac:dyDescent="0.45">
      <c r="A24" s="1"/>
      <c r="B24" s="1"/>
      <c r="C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45">
      <c r="A25" s="9" t="s">
        <v>6</v>
      </c>
      <c r="B25" s="9"/>
      <c r="C25" s="10" t="s">
        <v>7</v>
      </c>
      <c r="D25" s="10" t="s">
        <v>16</v>
      </c>
      <c r="F25" s="8" t="s">
        <v>15</v>
      </c>
      <c r="G25" s="8" t="s">
        <v>13</v>
      </c>
      <c r="H25" s="8" t="s">
        <v>14</v>
      </c>
      <c r="I25" s="8"/>
      <c r="J25" s="8"/>
      <c r="K25" s="8"/>
      <c r="L25" s="8"/>
      <c r="M25" s="8"/>
      <c r="N25" s="8"/>
      <c r="O25" s="8"/>
      <c r="P25" s="1"/>
      <c r="Q25" s="1"/>
    </row>
    <row r="26" spans="1:17" x14ac:dyDescent="0.45">
      <c r="A26" s="10">
        <v>20</v>
      </c>
      <c r="B26" s="10">
        <f>A26+$B$20</f>
        <v>25</v>
      </c>
      <c r="C26" s="10">
        <v>6</v>
      </c>
      <c r="D26" s="10">
        <f>C26/(63*$B$20)</f>
        <v>1.9047619047619049E-2</v>
      </c>
      <c r="F26" s="8">
        <v>20</v>
      </c>
      <c r="G26" s="8">
        <v>1</v>
      </c>
      <c r="H26" s="8">
        <f>G26/63</f>
        <v>1.5873015873015872E-2</v>
      </c>
      <c r="I26" s="8"/>
      <c r="J26" s="8"/>
      <c r="K26" s="8"/>
      <c r="L26" s="8"/>
      <c r="M26" s="8"/>
      <c r="N26" s="8"/>
      <c r="O26" s="8"/>
      <c r="P26" s="1"/>
      <c r="Q26" s="1"/>
    </row>
    <row r="27" spans="1:17" x14ac:dyDescent="0.45">
      <c r="A27" s="10">
        <f>B26</f>
        <v>25</v>
      </c>
      <c r="B27" s="10">
        <f>A27+$B$20</f>
        <v>30</v>
      </c>
      <c r="C27" s="10">
        <v>10</v>
      </c>
      <c r="D27" s="10">
        <f t="shared" ref="D27:D32" si="4">C27/(63*$B$20)</f>
        <v>3.1746031746031744E-2</v>
      </c>
      <c r="F27" s="8">
        <v>25</v>
      </c>
      <c r="G27" s="8">
        <f>SUM($C$26:C26)</f>
        <v>6</v>
      </c>
      <c r="H27" s="8">
        <f>G27/63</f>
        <v>9.5238095238095233E-2</v>
      </c>
      <c r="I27" s="8"/>
      <c r="J27" s="8"/>
      <c r="K27" s="8"/>
      <c r="L27" s="8"/>
      <c r="M27" s="8"/>
      <c r="N27" s="8"/>
      <c r="O27" s="8"/>
      <c r="P27" s="1"/>
      <c r="Q27" s="1"/>
    </row>
    <row r="28" spans="1:17" x14ac:dyDescent="0.45">
      <c r="A28" s="10">
        <f t="shared" ref="A28:A32" si="5">B27</f>
        <v>30</v>
      </c>
      <c r="B28" s="10">
        <f t="shared" ref="B28:B32" si="6">A28+$B$20</f>
        <v>35</v>
      </c>
      <c r="C28" s="10">
        <v>11</v>
      </c>
      <c r="D28" s="10">
        <f t="shared" si="4"/>
        <v>3.4920634920634921E-2</v>
      </c>
      <c r="F28" s="8">
        <v>30</v>
      </c>
      <c r="G28" s="8">
        <f>SUM($C$26:C27)</f>
        <v>16</v>
      </c>
      <c r="H28" s="8">
        <f>G28/63</f>
        <v>0.25396825396825395</v>
      </c>
      <c r="I28" s="8"/>
      <c r="J28" s="8"/>
      <c r="K28" s="8"/>
      <c r="L28" s="8"/>
      <c r="M28" s="8"/>
      <c r="N28" s="8"/>
      <c r="O28" s="8"/>
      <c r="P28" s="1"/>
      <c r="Q28" s="1"/>
    </row>
    <row r="29" spans="1:17" x14ac:dyDescent="0.45">
      <c r="A29" s="10">
        <f t="shared" si="5"/>
        <v>35</v>
      </c>
      <c r="B29" s="10">
        <f t="shared" si="6"/>
        <v>40</v>
      </c>
      <c r="C29" s="10">
        <v>9</v>
      </c>
      <c r="D29" s="10">
        <f t="shared" si="4"/>
        <v>2.8571428571428571E-2</v>
      </c>
      <c r="F29" s="8">
        <v>35</v>
      </c>
      <c r="G29" s="8">
        <f>SUM($C$26:C28)</f>
        <v>27</v>
      </c>
      <c r="H29" s="8">
        <f>G29/63</f>
        <v>0.42857142857142855</v>
      </c>
      <c r="I29" s="8"/>
      <c r="J29" s="8"/>
      <c r="K29" s="8"/>
      <c r="L29" s="8"/>
      <c r="M29" s="8"/>
      <c r="N29" s="8"/>
      <c r="O29" s="8"/>
      <c r="P29" s="1"/>
      <c r="Q29" s="1"/>
    </row>
    <row r="30" spans="1:17" x14ac:dyDescent="0.45">
      <c r="A30" s="10">
        <f t="shared" si="5"/>
        <v>40</v>
      </c>
      <c r="B30" s="10">
        <f t="shared" si="6"/>
        <v>45</v>
      </c>
      <c r="C30" s="10">
        <v>9</v>
      </c>
      <c r="D30" s="10">
        <f t="shared" si="4"/>
        <v>2.8571428571428571E-2</v>
      </c>
      <c r="F30" s="8">
        <v>40</v>
      </c>
      <c r="G30" s="8">
        <f>SUM($C$26:C29)</f>
        <v>36</v>
      </c>
      <c r="H30" s="8">
        <f>G30/63</f>
        <v>0.5714285714285714</v>
      </c>
      <c r="I30" s="8"/>
      <c r="J30" s="8"/>
      <c r="K30" s="8"/>
      <c r="L30" s="8"/>
      <c r="M30" s="8"/>
      <c r="N30" s="8"/>
      <c r="O30" s="8"/>
      <c r="P30" s="1"/>
      <c r="Q30" s="1"/>
    </row>
    <row r="31" spans="1:17" x14ac:dyDescent="0.45">
      <c r="A31" s="10">
        <f t="shared" si="5"/>
        <v>45</v>
      </c>
      <c r="B31" s="10">
        <f t="shared" si="6"/>
        <v>50</v>
      </c>
      <c r="C31" s="10">
        <v>5</v>
      </c>
      <c r="D31" s="10">
        <f t="shared" si="4"/>
        <v>1.5873015873015872E-2</v>
      </c>
      <c r="F31" s="8">
        <v>45</v>
      </c>
      <c r="G31" s="8">
        <f>SUM($C$26:C30)</f>
        <v>45</v>
      </c>
      <c r="H31" s="8">
        <f>G31/63</f>
        <v>0.7142857142857143</v>
      </c>
      <c r="I31" s="8"/>
      <c r="J31" s="8"/>
      <c r="K31" s="8"/>
      <c r="L31" s="8"/>
      <c r="M31" s="8"/>
      <c r="N31" s="8"/>
      <c r="O31" s="8"/>
      <c r="P31" s="1"/>
      <c r="Q31" s="1"/>
    </row>
    <row r="32" spans="1:17" x14ac:dyDescent="0.45">
      <c r="A32" s="10">
        <f t="shared" si="5"/>
        <v>50</v>
      </c>
      <c r="B32" s="10">
        <f t="shared" si="6"/>
        <v>55</v>
      </c>
      <c r="C32" s="10">
        <v>13</v>
      </c>
      <c r="D32" s="10">
        <f t="shared" si="4"/>
        <v>4.1269841269841269E-2</v>
      </c>
      <c r="F32" s="8">
        <v>50</v>
      </c>
      <c r="G32" s="8">
        <f>SUM($C$26:C31)</f>
        <v>50</v>
      </c>
      <c r="H32" s="8">
        <f>G32/63</f>
        <v>0.79365079365079361</v>
      </c>
      <c r="I32" s="8"/>
      <c r="J32" s="8"/>
      <c r="K32" s="8"/>
      <c r="L32" s="8"/>
      <c r="M32" s="8"/>
      <c r="N32" s="8"/>
      <c r="O32" s="8"/>
      <c r="P32" s="1"/>
      <c r="Q32" s="1"/>
    </row>
    <row r="33" spans="1:17" x14ac:dyDescent="0.45">
      <c r="A33" s="10"/>
      <c r="B33" s="10"/>
      <c r="C33" s="10"/>
      <c r="D33" s="10"/>
      <c r="F33" s="8">
        <v>55</v>
      </c>
      <c r="G33" s="8">
        <f>SUM($C$26:C32)</f>
        <v>63</v>
      </c>
      <c r="H33" s="8">
        <f>G33/63</f>
        <v>1</v>
      </c>
      <c r="I33" s="8"/>
      <c r="J33" s="8"/>
      <c r="K33" s="8"/>
      <c r="L33" s="8"/>
      <c r="M33" s="8"/>
      <c r="N33" s="8"/>
      <c r="O33" s="8"/>
      <c r="P33" s="1"/>
      <c r="Q33" s="1"/>
    </row>
    <row r="34" spans="1:17" x14ac:dyDescent="0.45">
      <c r="A34" s="10"/>
      <c r="B34" s="10"/>
      <c r="C34" s="10"/>
      <c r="D34" s="10"/>
      <c r="E34" s="1"/>
      <c r="F34" s="1"/>
      <c r="G34" s="1"/>
      <c r="H34" s="1"/>
      <c r="I34" s="8"/>
      <c r="J34" s="8"/>
      <c r="K34" s="8"/>
      <c r="L34" s="8"/>
      <c r="M34" s="8"/>
      <c r="N34" s="8"/>
      <c r="O34" s="8"/>
      <c r="P34" s="1"/>
      <c r="Q34" s="1"/>
    </row>
    <row r="35" spans="1:17" x14ac:dyDescent="0.45">
      <c r="A35" s="10"/>
      <c r="B35" s="10"/>
      <c r="C35" s="10"/>
      <c r="D35" s="10"/>
      <c r="E35" s="10"/>
      <c r="F35" s="10"/>
      <c r="G35" s="10"/>
      <c r="H35" s="1"/>
      <c r="I35" s="8"/>
      <c r="J35" s="8"/>
      <c r="K35" s="8"/>
      <c r="L35" s="8"/>
      <c r="M35" s="8"/>
      <c r="N35" s="8"/>
      <c r="O35" s="8"/>
      <c r="P35" s="1"/>
      <c r="Q35" s="1"/>
    </row>
    <row r="36" spans="1:17" x14ac:dyDescent="0.45">
      <c r="A36" s="10"/>
      <c r="B36" s="10"/>
      <c r="C36" s="10"/>
      <c r="D36" s="10"/>
      <c r="E36" s="10"/>
      <c r="F36" s="10"/>
      <c r="G36" s="10"/>
      <c r="H36" s="1"/>
      <c r="I36" s="8"/>
      <c r="J36" s="8"/>
      <c r="K36" s="8"/>
      <c r="L36" s="8"/>
      <c r="M36" s="8"/>
      <c r="N36" s="8"/>
      <c r="O36" s="8"/>
      <c r="P36" s="1"/>
      <c r="Q36" s="1"/>
    </row>
    <row r="37" spans="1:17" x14ac:dyDescent="0.45">
      <c r="A37" s="10"/>
      <c r="B37" s="10"/>
      <c r="C37" s="10"/>
      <c r="D37" s="10"/>
      <c r="E37" s="10"/>
      <c r="F37" s="10"/>
      <c r="G37" s="10"/>
      <c r="H37" s="1"/>
      <c r="I37" s="8"/>
      <c r="J37" s="8"/>
      <c r="K37" s="8"/>
      <c r="L37" s="8"/>
      <c r="M37" s="8"/>
      <c r="N37" s="8"/>
      <c r="O37" s="8"/>
      <c r="P37" s="1"/>
      <c r="Q37" s="1"/>
    </row>
    <row r="38" spans="1:17" x14ac:dyDescent="0.45">
      <c r="A38" s="10"/>
      <c r="B38" s="10"/>
      <c r="C38" s="10"/>
      <c r="D38" s="10"/>
      <c r="E38" s="10"/>
      <c r="F38" s="10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45">
      <c r="A39" s="10"/>
      <c r="B39" s="10"/>
      <c r="C39" s="10"/>
      <c r="D39" s="10"/>
      <c r="E39" s="10"/>
      <c r="F39" s="10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45">
      <c r="A40" s="10"/>
      <c r="B40" s="10"/>
      <c r="C40" s="10"/>
      <c r="D40" s="10"/>
      <c r="E40" s="10"/>
      <c r="F40" s="10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45">
      <c r="A41" s="10"/>
      <c r="B41" s="10"/>
      <c r="C41" s="10"/>
      <c r="D41" s="10"/>
      <c r="E41" s="10"/>
      <c r="F41" s="10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45">
      <c r="A42" s="10"/>
      <c r="B42" s="10"/>
      <c r="C42" s="10"/>
      <c r="D42" s="10"/>
      <c r="E42" s="10"/>
      <c r="F42" s="10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45">
      <c r="A43" s="10"/>
      <c r="B43" s="10"/>
      <c r="C43" s="10"/>
      <c r="D43" s="10"/>
      <c r="E43" s="10"/>
      <c r="F43" s="10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45">
      <c r="A44" s="10"/>
      <c r="B44" s="10"/>
      <c r="C44" s="10"/>
      <c r="D44" s="10"/>
      <c r="E44" s="10"/>
      <c r="F44" s="10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45">
      <c r="A45" s="10"/>
      <c r="B45" s="10"/>
      <c r="C45" s="10"/>
      <c r="D45" s="10"/>
      <c r="E45" s="10"/>
      <c r="F45" s="10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45">
      <c r="A46" s="10"/>
      <c r="B46" s="10"/>
      <c r="C46" s="10"/>
      <c r="D46" s="10"/>
      <c r="E46" s="10"/>
      <c r="F46" s="10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45">
      <c r="A47" s="10"/>
      <c r="B47" s="10"/>
      <c r="C47" s="10"/>
      <c r="D47" s="10"/>
      <c r="E47" s="10"/>
      <c r="F47" s="10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45">
      <c r="A48" s="10"/>
      <c r="B48" s="10"/>
      <c r="C48" s="10"/>
      <c r="D48" s="10"/>
      <c r="E48" s="10"/>
      <c r="F48" s="10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45">
      <c r="A49" s="10"/>
      <c r="B49" s="10"/>
      <c r="C49" s="10"/>
      <c r="D49" s="10"/>
      <c r="E49" s="10"/>
      <c r="F49" s="10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</sheetData>
  <mergeCells count="3">
    <mergeCell ref="A1:I3"/>
    <mergeCell ref="D12:E12"/>
    <mergeCell ref="A25:B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12BA-1EC9-4889-8B4E-B4F12A815EF3}">
  <dimension ref="A1:O48"/>
  <sheetViews>
    <sheetView topLeftCell="A13" workbookViewId="0">
      <selection activeCell="I35" sqref="I35"/>
    </sheetView>
  </sheetViews>
  <sheetFormatPr defaultRowHeight="14.25" x14ac:dyDescent="0.45"/>
  <cols>
    <col min="6" max="6" width="9.19921875" bestFit="1" customWidth="1"/>
    <col min="7" max="8" width="9.1328125" bestFit="1" customWidth="1"/>
  </cols>
  <sheetData>
    <row r="1" spans="1:14" x14ac:dyDescent="0.45">
      <c r="A1" s="12" t="s">
        <v>17</v>
      </c>
      <c r="B1" s="12"/>
      <c r="C1" s="12"/>
      <c r="D1" s="12"/>
      <c r="E1" s="12"/>
      <c r="F1" s="12"/>
      <c r="G1" s="12"/>
      <c r="H1" s="12"/>
      <c r="I1" s="12"/>
      <c r="J1" s="12"/>
    </row>
    <row r="2" spans="1:14" x14ac:dyDescent="0.4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4" x14ac:dyDescent="0.4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4" x14ac:dyDescent="0.45">
      <c r="A4">
        <v>79</v>
      </c>
      <c r="B4">
        <v>92</v>
      </c>
      <c r="C4">
        <v>438</v>
      </c>
      <c r="D4">
        <v>237</v>
      </c>
      <c r="E4">
        <v>440</v>
      </c>
      <c r="F4">
        <v>372</v>
      </c>
      <c r="G4">
        <v>207</v>
      </c>
      <c r="H4">
        <v>124</v>
      </c>
      <c r="I4">
        <v>213</v>
      </c>
      <c r="J4">
        <v>45</v>
      </c>
    </row>
    <row r="5" spans="1:14" x14ac:dyDescent="0.45">
      <c r="A5">
        <v>447</v>
      </c>
      <c r="B5">
        <v>88</v>
      </c>
      <c r="C5">
        <v>117</v>
      </c>
      <c r="D5">
        <v>439</v>
      </c>
      <c r="E5">
        <v>296</v>
      </c>
      <c r="F5">
        <v>71</v>
      </c>
      <c r="G5">
        <v>359</v>
      </c>
      <c r="H5">
        <v>402</v>
      </c>
      <c r="I5">
        <v>441</v>
      </c>
      <c r="J5">
        <v>380</v>
      </c>
    </row>
    <row r="6" spans="1:14" x14ac:dyDescent="0.45">
      <c r="A6">
        <v>233</v>
      </c>
      <c r="B6">
        <v>300</v>
      </c>
      <c r="C6">
        <v>36</v>
      </c>
      <c r="D6">
        <v>459</v>
      </c>
      <c r="E6">
        <v>368</v>
      </c>
      <c r="F6">
        <v>359</v>
      </c>
      <c r="G6">
        <v>411</v>
      </c>
      <c r="H6">
        <v>422</v>
      </c>
      <c r="I6">
        <v>466</v>
      </c>
      <c r="J6">
        <v>377</v>
      </c>
    </row>
    <row r="7" spans="1:14" x14ac:dyDescent="0.45">
      <c r="A7" s="1"/>
      <c r="B7" s="1"/>
      <c r="C7" s="1"/>
      <c r="D7" s="1"/>
      <c r="E7" s="1"/>
      <c r="F7" s="1"/>
      <c r="G7" s="1"/>
      <c r="H7" s="1"/>
    </row>
    <row r="8" spans="1:14" x14ac:dyDescent="0.45">
      <c r="A8" s="1" t="s">
        <v>8</v>
      </c>
      <c r="B8" s="1">
        <f>MAX(A4:J6)</f>
        <v>466</v>
      </c>
      <c r="C8" s="1"/>
      <c r="D8" s="6" t="s">
        <v>6</v>
      </c>
      <c r="E8" s="6"/>
      <c r="F8" s="7"/>
      <c r="G8" s="7" t="s">
        <v>7</v>
      </c>
      <c r="H8" s="7"/>
      <c r="I8" s="13"/>
      <c r="J8" s="13"/>
      <c r="K8" s="13"/>
      <c r="L8" s="13"/>
      <c r="M8" s="13"/>
      <c r="N8" s="13"/>
    </row>
    <row r="9" spans="1:14" x14ac:dyDescent="0.45">
      <c r="A9" s="1" t="s">
        <v>9</v>
      </c>
      <c r="B9" s="1">
        <f>MIN(A4:J6)</f>
        <v>36</v>
      </c>
      <c r="C9" s="1"/>
      <c r="D9" s="14">
        <v>36</v>
      </c>
      <c r="E9" s="14">
        <f>D9+$B$16</f>
        <v>107.66666666666667</v>
      </c>
      <c r="F9" s="14">
        <f>E9-0.01</f>
        <v>107.65666666666667</v>
      </c>
      <c r="G9" s="7">
        <f t="array" ref="G9:G14">FREQUENCY(A4:J6,F9:F14)</f>
        <v>6</v>
      </c>
      <c r="H9" s="7"/>
      <c r="I9" s="13"/>
      <c r="J9" s="13"/>
      <c r="K9" s="13"/>
      <c r="L9" s="13"/>
      <c r="M9" s="13"/>
      <c r="N9" s="13"/>
    </row>
    <row r="10" spans="1:14" x14ac:dyDescent="0.45">
      <c r="A10" s="1"/>
      <c r="B10" s="1"/>
      <c r="C10" s="1"/>
      <c r="D10" s="14">
        <f>E9</f>
        <v>107.66666666666667</v>
      </c>
      <c r="E10" s="14">
        <f t="shared" ref="E10:E14" si="0">D10+$B$16</f>
        <v>179.33333333333334</v>
      </c>
      <c r="F10" s="14">
        <f t="shared" ref="F10:F13" si="1">E10-0.01</f>
        <v>179.32333333333335</v>
      </c>
      <c r="G10" s="7">
        <v>2</v>
      </c>
      <c r="H10" s="7"/>
      <c r="I10" s="13"/>
      <c r="J10" s="13"/>
      <c r="K10" s="13"/>
      <c r="L10" s="13"/>
      <c r="M10" s="13"/>
      <c r="N10" s="13"/>
    </row>
    <row r="11" spans="1:14" x14ac:dyDescent="0.45">
      <c r="A11" s="1" t="s">
        <v>3</v>
      </c>
      <c r="B11" s="1">
        <v>30</v>
      </c>
      <c r="C11" s="1"/>
      <c r="D11" s="14">
        <f t="shared" ref="D11:D14" si="2">E10</f>
        <v>179.33333333333334</v>
      </c>
      <c r="E11" s="14">
        <f t="shared" si="0"/>
        <v>251</v>
      </c>
      <c r="F11" s="14">
        <f t="shared" si="1"/>
        <v>250.99</v>
      </c>
      <c r="G11" s="7">
        <v>4</v>
      </c>
      <c r="H11" s="7"/>
      <c r="I11" s="13"/>
      <c r="J11" s="13"/>
      <c r="K11" s="13"/>
      <c r="L11" s="13"/>
      <c r="M11" s="13"/>
      <c r="N11" s="13"/>
    </row>
    <row r="12" spans="1:14" x14ac:dyDescent="0.45">
      <c r="A12" s="1"/>
      <c r="B12" s="1"/>
      <c r="C12" s="1"/>
      <c r="D12" s="14">
        <f t="shared" si="2"/>
        <v>251</v>
      </c>
      <c r="E12" s="14">
        <f t="shared" si="0"/>
        <v>322.66666666666669</v>
      </c>
      <c r="F12" s="14">
        <f t="shared" si="1"/>
        <v>322.65666666666669</v>
      </c>
      <c r="G12" s="7">
        <v>2</v>
      </c>
      <c r="H12" s="7"/>
      <c r="I12" s="13"/>
      <c r="J12" s="13"/>
      <c r="K12" s="13"/>
      <c r="L12" s="13"/>
      <c r="M12" s="13"/>
      <c r="N12" s="13"/>
    </row>
    <row r="13" spans="1:14" x14ac:dyDescent="0.45">
      <c r="A13" s="1" t="s">
        <v>4</v>
      </c>
      <c r="B13" s="1">
        <f>1+1.4*LN(B11)</f>
        <v>5.7616763343270172</v>
      </c>
      <c r="C13" s="1"/>
      <c r="D13" s="14">
        <f t="shared" si="2"/>
        <v>322.66666666666669</v>
      </c>
      <c r="E13" s="14">
        <f t="shared" si="0"/>
        <v>394.33333333333337</v>
      </c>
      <c r="F13" s="14">
        <f t="shared" si="1"/>
        <v>394.32333333333338</v>
      </c>
      <c r="G13" s="7">
        <v>6</v>
      </c>
      <c r="H13" s="7"/>
      <c r="I13" s="13"/>
      <c r="J13" s="13"/>
      <c r="K13" s="13"/>
      <c r="L13" s="13"/>
      <c r="M13" s="13"/>
      <c r="N13" s="13"/>
    </row>
    <row r="14" spans="1:14" x14ac:dyDescent="0.45">
      <c r="A14" s="1"/>
      <c r="B14" s="1">
        <v>6</v>
      </c>
      <c r="C14" s="1"/>
      <c r="D14" s="14">
        <f t="shared" si="2"/>
        <v>394.33333333333337</v>
      </c>
      <c r="E14" s="14">
        <f t="shared" si="0"/>
        <v>466.00000000000006</v>
      </c>
      <c r="F14" s="14">
        <f>E14+0.01</f>
        <v>466.01000000000005</v>
      </c>
      <c r="G14" s="7">
        <v>10</v>
      </c>
      <c r="H14" s="7"/>
      <c r="I14" s="13"/>
      <c r="J14" s="13"/>
      <c r="K14" s="13"/>
      <c r="L14" s="13"/>
      <c r="M14" s="13"/>
      <c r="N14" s="13"/>
    </row>
    <row r="15" spans="1:14" x14ac:dyDescent="0.45">
      <c r="A15" s="1"/>
      <c r="B15" s="1"/>
      <c r="C15" s="1"/>
      <c r="D15" s="7"/>
      <c r="E15" s="7"/>
      <c r="F15" s="7"/>
      <c r="G15" s="7">
        <f>SUM(G9:G14)</f>
        <v>30</v>
      </c>
      <c r="H15" s="7"/>
      <c r="I15" s="13"/>
      <c r="J15" s="13"/>
      <c r="K15" s="13"/>
      <c r="L15" s="13"/>
      <c r="M15" s="13"/>
      <c r="N15" s="13"/>
    </row>
    <row r="16" spans="1:14" x14ac:dyDescent="0.45">
      <c r="A16" s="1" t="s">
        <v>5</v>
      </c>
      <c r="B16" s="3">
        <f>(B8-B9)/B14</f>
        <v>71.666666666666671</v>
      </c>
      <c r="C16" s="1"/>
      <c r="H16" s="7"/>
      <c r="I16" s="13"/>
      <c r="J16" s="13"/>
      <c r="K16" s="13"/>
      <c r="L16" s="13"/>
      <c r="M16" s="13"/>
      <c r="N16" s="13"/>
    </row>
    <row r="17" spans="1:15" x14ac:dyDescent="0.45">
      <c r="A17" s="1"/>
      <c r="B17" s="1"/>
      <c r="C17" s="1"/>
      <c r="H17" s="7"/>
      <c r="I17" s="13"/>
      <c r="J17" s="13"/>
      <c r="K17" s="13"/>
      <c r="L17" s="13"/>
      <c r="M17" s="13"/>
      <c r="N17" s="13"/>
    </row>
    <row r="18" spans="1:15" x14ac:dyDescent="0.45">
      <c r="A18" s="1"/>
      <c r="B18" s="1"/>
      <c r="C18" s="1"/>
      <c r="H18" s="7"/>
      <c r="I18" s="13"/>
      <c r="J18" s="13"/>
      <c r="K18" s="13"/>
      <c r="L18" s="13"/>
      <c r="M18" s="13"/>
      <c r="N18" s="13"/>
    </row>
    <row r="19" spans="1:15" x14ac:dyDescent="0.45">
      <c r="A19" s="1"/>
      <c r="B19" s="1"/>
      <c r="C19" s="1"/>
      <c r="H19" s="7"/>
      <c r="I19" s="13"/>
      <c r="J19" s="13"/>
      <c r="K19" s="13"/>
      <c r="L19" s="13"/>
      <c r="M19" s="13"/>
      <c r="N19" s="13"/>
    </row>
    <row r="20" spans="1:15" x14ac:dyDescent="0.45">
      <c r="A20" s="1"/>
      <c r="B20" s="1"/>
      <c r="C20" s="1"/>
      <c r="H20" s="7"/>
      <c r="I20" s="13"/>
      <c r="J20" s="13"/>
      <c r="K20" s="13"/>
      <c r="L20" s="13"/>
      <c r="M20" s="13"/>
      <c r="N20" s="13"/>
    </row>
    <row r="21" spans="1:15" x14ac:dyDescent="0.45">
      <c r="A21" s="1"/>
      <c r="B21" s="1"/>
      <c r="C21" s="1"/>
      <c r="D21" s="1"/>
      <c r="E21" s="1"/>
      <c r="F21" s="1"/>
      <c r="G21" s="1"/>
      <c r="H21" s="1"/>
    </row>
    <row r="22" spans="1:15" x14ac:dyDescent="0.45">
      <c r="A22" s="9" t="s">
        <v>6</v>
      </c>
      <c r="B22" s="9"/>
      <c r="C22" s="10" t="s">
        <v>7</v>
      </c>
      <c r="D22" s="10" t="s">
        <v>16</v>
      </c>
      <c r="E22" s="1"/>
      <c r="F22" s="8" t="s">
        <v>15</v>
      </c>
      <c r="G22" s="8" t="s">
        <v>13</v>
      </c>
      <c r="H22" s="8" t="s">
        <v>14</v>
      </c>
      <c r="I22" s="8"/>
      <c r="J22" s="8"/>
      <c r="K22" s="8"/>
      <c r="L22" s="8"/>
      <c r="M22" s="8"/>
      <c r="N22" s="8"/>
      <c r="O22" s="8"/>
    </row>
    <row r="23" spans="1:15" x14ac:dyDescent="0.45">
      <c r="A23" s="16">
        <v>36</v>
      </c>
      <c r="B23" s="16">
        <f>A23+$B$16</f>
        <v>107.66666666666667</v>
      </c>
      <c r="C23" s="10">
        <v>6</v>
      </c>
      <c r="D23" s="10">
        <f>C23/($B$16*30)</f>
        <v>2.7906976744186047E-3</v>
      </c>
      <c r="E23" s="1"/>
      <c r="F23" s="17">
        <v>36</v>
      </c>
      <c r="G23" s="18">
        <v>1</v>
      </c>
      <c r="H23" s="17">
        <f>G23/30</f>
        <v>3.3333333333333333E-2</v>
      </c>
      <c r="I23" s="8"/>
      <c r="J23" s="8"/>
      <c r="K23" s="8"/>
      <c r="L23" s="8"/>
      <c r="M23" s="8"/>
      <c r="N23" s="8"/>
      <c r="O23" s="8"/>
    </row>
    <row r="24" spans="1:15" x14ac:dyDescent="0.45">
      <c r="A24" s="16">
        <f>B23</f>
        <v>107.66666666666667</v>
      </c>
      <c r="B24" s="16">
        <f>A24+$B$16</f>
        <v>179.33333333333334</v>
      </c>
      <c r="C24" s="10">
        <v>2</v>
      </c>
      <c r="D24" s="10">
        <f>C24/($B$16*30)</f>
        <v>9.3023255813953494E-4</v>
      </c>
      <c r="E24" s="1"/>
      <c r="F24" s="17">
        <v>107.66666666666667</v>
      </c>
      <c r="G24" s="18">
        <f>SUM($C$23:C23)</f>
        <v>6</v>
      </c>
      <c r="H24" s="17">
        <f t="shared" ref="H24:H29" si="3">G24/30</f>
        <v>0.2</v>
      </c>
      <c r="I24" s="8"/>
      <c r="J24" s="8"/>
      <c r="K24" s="8"/>
      <c r="L24" s="8"/>
      <c r="M24" s="8"/>
      <c r="N24" s="8"/>
      <c r="O24" s="8"/>
    </row>
    <row r="25" spans="1:15" x14ac:dyDescent="0.45">
      <c r="A25" s="16">
        <f t="shared" ref="A25:A28" si="4">B24</f>
        <v>179.33333333333334</v>
      </c>
      <c r="B25" s="16">
        <f>A25+$B$16</f>
        <v>251</v>
      </c>
      <c r="C25" s="10">
        <v>4</v>
      </c>
      <c r="D25" s="10">
        <f>C25/($B$16*30)</f>
        <v>1.8604651162790699E-3</v>
      </c>
      <c r="E25" s="1"/>
      <c r="F25" s="17">
        <v>179.33333333333334</v>
      </c>
      <c r="G25" s="18">
        <f>SUM($C$23:C24)</f>
        <v>8</v>
      </c>
      <c r="H25" s="17">
        <f t="shared" si="3"/>
        <v>0.26666666666666666</v>
      </c>
      <c r="I25" s="8"/>
      <c r="J25" s="8"/>
      <c r="K25" s="8"/>
      <c r="L25" s="8"/>
      <c r="M25" s="8"/>
      <c r="N25" s="8"/>
      <c r="O25" s="8"/>
    </row>
    <row r="26" spans="1:15" x14ac:dyDescent="0.45">
      <c r="A26" s="16">
        <f t="shared" si="4"/>
        <v>251</v>
      </c>
      <c r="B26" s="16">
        <f>A26+$B$16</f>
        <v>322.66666666666669</v>
      </c>
      <c r="C26" s="10">
        <v>2</v>
      </c>
      <c r="D26" s="10">
        <f>C26/($B$16*30)</f>
        <v>9.3023255813953494E-4</v>
      </c>
      <c r="E26" s="1"/>
      <c r="F26" s="17">
        <v>251</v>
      </c>
      <c r="G26" s="18">
        <f>SUM($C$23:C25)</f>
        <v>12</v>
      </c>
      <c r="H26" s="17">
        <f t="shared" si="3"/>
        <v>0.4</v>
      </c>
      <c r="I26" s="8"/>
      <c r="J26" s="8"/>
      <c r="K26" s="8"/>
      <c r="L26" s="8"/>
      <c r="M26" s="8"/>
      <c r="N26" s="8"/>
      <c r="O26" s="8"/>
    </row>
    <row r="27" spans="1:15" x14ac:dyDescent="0.45">
      <c r="A27" s="16">
        <f t="shared" si="4"/>
        <v>322.66666666666669</v>
      </c>
      <c r="B27" s="16">
        <f>A27+$B$16</f>
        <v>394.33333333333337</v>
      </c>
      <c r="C27" s="10">
        <v>6</v>
      </c>
      <c r="D27" s="10">
        <f>C27/($B$16*30)</f>
        <v>2.7906976744186047E-3</v>
      </c>
      <c r="E27" s="1"/>
      <c r="F27" s="17">
        <v>322.66666666666669</v>
      </c>
      <c r="G27" s="18">
        <f>SUM($C$23:C26)</f>
        <v>14</v>
      </c>
      <c r="H27" s="17">
        <f t="shared" si="3"/>
        <v>0.46666666666666667</v>
      </c>
      <c r="I27" s="8"/>
      <c r="J27" s="8"/>
      <c r="K27" s="8"/>
      <c r="L27" s="8"/>
      <c r="M27" s="8"/>
      <c r="N27" s="8"/>
      <c r="O27" s="8"/>
    </row>
    <row r="28" spans="1:15" x14ac:dyDescent="0.45">
      <c r="A28" s="16">
        <f t="shared" si="4"/>
        <v>394.33333333333337</v>
      </c>
      <c r="B28" s="16">
        <f>A28+$B$16</f>
        <v>466.00000000000006</v>
      </c>
      <c r="C28" s="10">
        <v>10</v>
      </c>
      <c r="D28" s="10">
        <f>C28/($B$16*30)</f>
        <v>4.6511627906976744E-3</v>
      </c>
      <c r="E28" s="1"/>
      <c r="F28" s="17">
        <v>394.33333333333337</v>
      </c>
      <c r="G28" s="18">
        <f>SUM($C$23:C27)</f>
        <v>20</v>
      </c>
      <c r="H28" s="17">
        <f t="shared" si="3"/>
        <v>0.66666666666666663</v>
      </c>
      <c r="I28" s="8"/>
      <c r="J28" s="8"/>
      <c r="K28" s="8"/>
      <c r="L28" s="8"/>
      <c r="M28" s="8"/>
      <c r="N28" s="8"/>
      <c r="O28" s="8"/>
    </row>
    <row r="29" spans="1:15" x14ac:dyDescent="0.45">
      <c r="A29" s="10"/>
      <c r="B29" s="10"/>
      <c r="C29" s="10"/>
      <c r="D29" s="10"/>
      <c r="E29" s="1"/>
      <c r="F29" s="17">
        <v>466.00000000000006</v>
      </c>
      <c r="G29" s="18">
        <f>SUM($C$23:C28)</f>
        <v>30</v>
      </c>
      <c r="H29" s="17">
        <f t="shared" si="3"/>
        <v>1</v>
      </c>
      <c r="I29" s="8"/>
      <c r="J29" s="8"/>
      <c r="K29" s="8"/>
      <c r="L29" s="8"/>
      <c r="M29" s="8"/>
      <c r="N29" s="8"/>
      <c r="O29" s="8"/>
    </row>
    <row r="30" spans="1:15" x14ac:dyDescent="0.45">
      <c r="A30" s="15"/>
      <c r="B30" s="15"/>
      <c r="C30" s="15"/>
      <c r="D30" s="15"/>
      <c r="I30" s="8"/>
      <c r="J30" s="8"/>
      <c r="K30" s="8"/>
      <c r="L30" s="8"/>
      <c r="M30" s="8"/>
      <c r="N30" s="8"/>
      <c r="O30" s="8"/>
    </row>
    <row r="31" spans="1:15" x14ac:dyDescent="0.45">
      <c r="A31" s="15"/>
      <c r="B31" s="15"/>
      <c r="C31" s="15"/>
      <c r="D31" s="15"/>
      <c r="I31" s="8"/>
      <c r="J31" s="8"/>
      <c r="K31" s="8"/>
      <c r="L31" s="8"/>
      <c r="M31" s="8"/>
      <c r="N31" s="8"/>
      <c r="O31" s="8"/>
    </row>
    <row r="32" spans="1:15" x14ac:dyDescent="0.45">
      <c r="A32" s="15"/>
      <c r="B32" s="15"/>
      <c r="C32" s="15"/>
      <c r="D32" s="15"/>
      <c r="E32" s="15"/>
      <c r="F32" s="15"/>
      <c r="G32" s="15"/>
      <c r="I32" s="8"/>
      <c r="J32" s="8"/>
      <c r="K32" s="8"/>
      <c r="L32" s="8"/>
      <c r="M32" s="8"/>
      <c r="N32" s="8"/>
      <c r="O32" s="8"/>
    </row>
    <row r="33" spans="1:15" x14ac:dyDescent="0.45">
      <c r="A33" s="15"/>
      <c r="B33" s="15"/>
      <c r="C33" s="15"/>
      <c r="D33" s="15"/>
      <c r="E33" s="15"/>
      <c r="F33" s="15"/>
      <c r="G33" s="15"/>
      <c r="I33" s="8"/>
      <c r="J33" s="8"/>
      <c r="K33" s="8"/>
      <c r="L33" s="8"/>
      <c r="M33" s="8"/>
      <c r="N33" s="8"/>
      <c r="O33" s="8"/>
    </row>
    <row r="34" spans="1:15" x14ac:dyDescent="0.45">
      <c r="A34" s="15"/>
      <c r="B34" s="15"/>
      <c r="C34" s="15"/>
      <c r="D34" s="15"/>
      <c r="E34" s="15"/>
      <c r="F34" s="15"/>
      <c r="G34" s="15"/>
      <c r="I34" s="8"/>
      <c r="J34" s="8"/>
      <c r="K34" s="8"/>
      <c r="L34" s="8"/>
      <c r="M34" s="8"/>
      <c r="N34" s="8"/>
      <c r="O34" s="8"/>
    </row>
    <row r="35" spans="1:15" x14ac:dyDescent="0.45">
      <c r="A35" s="15"/>
      <c r="B35" s="15"/>
      <c r="C35" s="15"/>
      <c r="D35" s="15"/>
      <c r="E35" s="15"/>
      <c r="F35" s="15"/>
      <c r="G35" s="15"/>
    </row>
    <row r="36" spans="1:15" x14ac:dyDescent="0.45">
      <c r="A36" s="15"/>
      <c r="B36" s="15"/>
      <c r="C36" s="15"/>
      <c r="D36" s="15"/>
      <c r="E36" s="15"/>
      <c r="F36" s="15"/>
      <c r="G36" s="15"/>
    </row>
    <row r="37" spans="1:15" x14ac:dyDescent="0.45">
      <c r="A37" s="15"/>
      <c r="B37" s="15"/>
      <c r="C37" s="15"/>
      <c r="D37" s="15"/>
      <c r="E37" s="15"/>
      <c r="F37" s="15"/>
      <c r="G37" s="15"/>
    </row>
    <row r="38" spans="1:15" x14ac:dyDescent="0.45">
      <c r="A38" s="15"/>
      <c r="B38" s="15"/>
      <c r="C38" s="15"/>
      <c r="D38" s="15"/>
      <c r="E38" s="15"/>
      <c r="F38" s="15"/>
      <c r="G38" s="15"/>
    </row>
    <row r="39" spans="1:15" x14ac:dyDescent="0.45">
      <c r="A39" s="15"/>
      <c r="B39" s="15"/>
      <c r="C39" s="15"/>
      <c r="D39" s="15"/>
      <c r="E39" s="15"/>
      <c r="F39" s="15"/>
      <c r="G39" s="15"/>
    </row>
    <row r="40" spans="1:15" x14ac:dyDescent="0.45">
      <c r="A40" s="15"/>
      <c r="B40" s="15"/>
      <c r="C40" s="15"/>
      <c r="D40" s="15"/>
      <c r="E40" s="15"/>
      <c r="F40" s="15"/>
      <c r="G40" s="15"/>
    </row>
    <row r="41" spans="1:15" x14ac:dyDescent="0.45">
      <c r="A41" s="15"/>
      <c r="B41" s="15"/>
      <c r="C41" s="15"/>
      <c r="D41" s="15"/>
      <c r="E41" s="15"/>
      <c r="F41" s="15"/>
      <c r="G41" s="15"/>
    </row>
    <row r="42" spans="1:15" x14ac:dyDescent="0.45">
      <c r="A42" s="15"/>
      <c r="B42" s="15"/>
      <c r="C42" s="15"/>
      <c r="D42" s="15"/>
      <c r="E42" s="15"/>
      <c r="F42" s="15"/>
      <c r="G42" s="15"/>
    </row>
    <row r="43" spans="1:15" x14ac:dyDescent="0.45">
      <c r="A43" s="15"/>
      <c r="B43" s="15"/>
      <c r="C43" s="15"/>
      <c r="D43" s="15"/>
      <c r="E43" s="15"/>
      <c r="F43" s="15"/>
      <c r="G43" s="15"/>
    </row>
    <row r="44" spans="1:15" x14ac:dyDescent="0.45">
      <c r="A44" s="15"/>
      <c r="B44" s="15"/>
      <c r="C44" s="15"/>
      <c r="D44" s="15"/>
      <c r="E44" s="15"/>
      <c r="F44" s="15"/>
      <c r="G44" s="15"/>
    </row>
    <row r="45" spans="1:15" x14ac:dyDescent="0.45">
      <c r="A45" s="15"/>
      <c r="B45" s="15"/>
      <c r="C45" s="15"/>
      <c r="D45" s="15"/>
      <c r="E45" s="15"/>
      <c r="F45" s="15"/>
      <c r="G45" s="15"/>
    </row>
    <row r="46" spans="1:15" x14ac:dyDescent="0.45">
      <c r="A46" s="15"/>
      <c r="B46" s="15"/>
      <c r="C46" s="15"/>
      <c r="D46" s="15"/>
      <c r="E46" s="15"/>
      <c r="F46" s="15"/>
      <c r="G46" s="15"/>
    </row>
    <row r="47" spans="1:15" x14ac:dyDescent="0.45">
      <c r="A47" s="15"/>
      <c r="B47" s="15"/>
      <c r="C47" s="15"/>
      <c r="D47" s="15"/>
      <c r="E47" s="15"/>
      <c r="F47" s="15"/>
      <c r="G47" s="15"/>
    </row>
    <row r="48" spans="1:15" x14ac:dyDescent="0.45">
      <c r="A48" s="15"/>
      <c r="B48" s="15"/>
      <c r="C48" s="15"/>
      <c r="D48" s="15"/>
      <c r="E48" s="15"/>
      <c r="F48" s="15"/>
      <c r="G48" s="15"/>
    </row>
  </sheetData>
  <mergeCells count="3">
    <mergeCell ref="A1:J3"/>
    <mergeCell ref="D8:E8"/>
    <mergeCell ref="A22:B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задание1</vt:lpstr>
      <vt:lpstr>задание2</vt:lpstr>
      <vt:lpstr>задание3.1</vt:lpstr>
      <vt:lpstr>задание3.2</vt:lpstr>
      <vt:lpstr>задание3.3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 Кочеткова</cp:lastModifiedBy>
  <dcterms:created xsi:type="dcterms:W3CDTF">2015-06-05T18:19:34Z</dcterms:created>
  <dcterms:modified xsi:type="dcterms:W3CDTF">2023-11-21T19:40:50Z</dcterms:modified>
</cp:coreProperties>
</file>
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BBBA5BC7-8C60-491C-AB68-3E58F6C2159D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Задание1" sheetId="1" r:id="rId1"/>
    <sheet name="Задание3.1" sheetId="3" r:id="rId2"/>
    <sheet name="Задание3.2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3" l="1"/>
  <c r="G25" i="4"/>
  <c r="I46" i="4" s="1"/>
  <c r="I28" i="4"/>
  <c r="O29" i="1"/>
  <c r="B29" i="1"/>
  <c r="E29" i="1"/>
  <c r="G29" i="1"/>
  <c r="I42" i="4"/>
  <c r="I43" i="4"/>
  <c r="I44" i="4"/>
  <c r="I45" i="4"/>
  <c r="E28" i="1"/>
  <c r="C27" i="4"/>
  <c r="C28" i="4"/>
  <c r="C29" i="4"/>
  <c r="C30" i="4"/>
  <c r="C31" i="4"/>
  <c r="C32" i="4"/>
  <c r="C26" i="4"/>
  <c r="A32" i="4"/>
  <c r="A27" i="4"/>
  <c r="A28" i="4"/>
  <c r="A29" i="4"/>
  <c r="A30" i="4"/>
  <c r="A31" i="4"/>
  <c r="A26" i="4"/>
  <c r="N38" i="3"/>
  <c r="N39" i="3"/>
  <c r="N40" i="3"/>
  <c r="N37" i="3"/>
  <c r="Q37" i="3" s="1"/>
  <c r="I37" i="3"/>
  <c r="I38" i="3"/>
  <c r="I39" i="3"/>
  <c r="L37" i="3" s="1"/>
  <c r="I40" i="3"/>
  <c r="G25" i="3"/>
  <c r="G26" i="3"/>
  <c r="G27" i="3"/>
  <c r="G24" i="3"/>
  <c r="H21" i="3" s="1"/>
  <c r="M21" i="3" s="1"/>
  <c r="A23" i="3"/>
  <c r="A24" i="3"/>
  <c r="A25" i="3"/>
  <c r="A22" i="3"/>
  <c r="B17" i="4"/>
  <c r="B13" i="4"/>
  <c r="B12" i="4"/>
  <c r="B20" i="4" s="1"/>
  <c r="E13" i="4" s="1"/>
  <c r="B13" i="3" a="1"/>
  <c r="B16" i="3" s="1"/>
  <c r="B10" i="3"/>
  <c r="B9" i="3"/>
  <c r="J34" i="3" l="1"/>
  <c r="B34" i="3"/>
  <c r="G34" i="3"/>
  <c r="E34" i="3"/>
  <c r="O34" i="3"/>
  <c r="I41" i="4"/>
  <c r="L41" i="4" s="1"/>
  <c r="N41" i="4"/>
  <c r="Q41" i="4" s="1"/>
  <c r="O38" i="4" s="1"/>
  <c r="N47" i="4"/>
  <c r="N46" i="4"/>
  <c r="N45" i="4"/>
  <c r="N44" i="4"/>
  <c r="I34" i="4"/>
  <c r="N43" i="4"/>
  <c r="I33" i="4"/>
  <c r="N42" i="4"/>
  <c r="I32" i="4"/>
  <c r="I31" i="4"/>
  <c r="I30" i="4"/>
  <c r="I29" i="4"/>
  <c r="J25" i="4" s="1"/>
  <c r="O25" i="4" s="1"/>
  <c r="G38" i="4" s="1"/>
  <c r="I47" i="4"/>
  <c r="D14" i="4"/>
  <c r="E14" i="4" s="1"/>
  <c r="F13" i="4"/>
  <c r="B13" i="3"/>
  <c r="B14" i="3"/>
  <c r="B15" i="3"/>
  <c r="B38" i="4" l="1"/>
  <c r="E38" i="4"/>
  <c r="J38" i="4"/>
  <c r="D15" i="4"/>
  <c r="E15" i="4" s="1"/>
  <c r="F14" i="4"/>
  <c r="B17" i="3"/>
  <c r="D16" i="4" l="1"/>
  <c r="E16" i="4" s="1"/>
  <c r="F15" i="4"/>
  <c r="D17" i="4" l="1"/>
  <c r="E17" i="4" s="1"/>
  <c r="F16" i="4"/>
  <c r="D18" i="4" l="1"/>
  <c r="E18" i="4" s="1"/>
  <c r="F17" i="4"/>
  <c r="D19" i="4" l="1"/>
  <c r="E19" i="4" s="1"/>
  <c r="F19" i="4" s="1"/>
  <c r="F18" i="4"/>
  <c r="G13" i="4" l="1" a="1"/>
  <c r="G19" i="4" l="1"/>
  <c r="G18" i="4"/>
  <c r="G17" i="4"/>
  <c r="G16" i="4"/>
  <c r="G15" i="4"/>
  <c r="G14" i="4"/>
  <c r="G13" i="4"/>
  <c r="G20" i="4" s="1"/>
  <c r="F13" i="1" l="1"/>
  <c r="F12" i="1"/>
  <c r="F11" i="1"/>
  <c r="F10" i="1"/>
  <c r="F9" i="1"/>
  <c r="F8" i="1"/>
  <c r="G7" i="1" a="1"/>
  <c r="G12" i="1" s="1"/>
  <c r="F7" i="1"/>
  <c r="B11" i="1"/>
  <c r="B7" i="1"/>
  <c r="B6" i="1"/>
  <c r="B14" i="1" s="1"/>
  <c r="E7" i="1" s="1"/>
  <c r="D8" i="1" l="1"/>
  <c r="E8" i="1" s="1"/>
  <c r="A19" i="1"/>
  <c r="G7" i="1"/>
  <c r="G8" i="1"/>
  <c r="G10" i="1"/>
  <c r="G11" i="1"/>
  <c r="G13" i="1"/>
  <c r="G9" i="1"/>
  <c r="C19" i="1" l="1"/>
  <c r="D9" i="1"/>
  <c r="E9" i="1" s="1"/>
  <c r="A20" i="1"/>
  <c r="C20" i="1" s="1"/>
  <c r="G14" i="1"/>
  <c r="D10" i="1" l="1"/>
  <c r="E10" i="1" s="1"/>
  <c r="A21" i="1"/>
  <c r="C21" i="1" l="1"/>
  <c r="D11" i="1"/>
  <c r="E11" i="1" s="1"/>
  <c r="A22" i="1"/>
  <c r="C22" i="1" l="1"/>
  <c r="D12" i="1"/>
  <c r="E12" i="1" s="1"/>
  <c r="A23" i="1"/>
  <c r="C23" i="1" l="1"/>
  <c r="D13" i="1"/>
  <c r="E13" i="1" s="1"/>
  <c r="A25" i="1" s="1"/>
  <c r="A24" i="1"/>
  <c r="C24" i="1" l="1"/>
  <c r="C25" i="1"/>
  <c r="G18" i="1"/>
  <c r="I25" i="1" s="1"/>
  <c r="N33" i="1" l="1"/>
  <c r="I33" i="1"/>
  <c r="I20" i="1"/>
  <c r="I19" i="1"/>
  <c r="N32" i="1"/>
  <c r="I32" i="1"/>
  <c r="N34" i="1"/>
  <c r="I34" i="1"/>
  <c r="I21" i="1"/>
  <c r="I35" i="1"/>
  <c r="N35" i="1"/>
  <c r="I22" i="1"/>
  <c r="N36" i="1"/>
  <c r="I36" i="1"/>
  <c r="I23" i="1"/>
  <c r="I38" i="1"/>
  <c r="N38" i="1"/>
  <c r="N37" i="1"/>
  <c r="I24" i="1"/>
  <c r="I37" i="1"/>
  <c r="L32" i="1" l="1"/>
  <c r="Q32" i="1"/>
  <c r="J16" i="1"/>
  <c r="O16" i="1" s="1"/>
  <c r="G28" i="1" l="1"/>
  <c r="J29" i="1"/>
</calcChain>
</file>

<file path=xl/sharedStrings.xml><?xml version="1.0" encoding="utf-8"?>
<sst xmlns="http://schemas.openxmlformats.org/spreadsheetml/2006/main" count="90" uniqueCount="39">
  <si>
    <t>max</t>
  </si>
  <si>
    <t>min</t>
  </si>
  <si>
    <t>n</t>
  </si>
  <si>
    <t>k</t>
  </si>
  <si>
    <t>∆</t>
  </si>
  <si>
    <t>x</t>
  </si>
  <si>
    <t>m</t>
  </si>
  <si>
    <t>1. Среднее значение</t>
  </si>
  <si>
    <t>x'</t>
  </si>
  <si>
    <t>x' * m</t>
  </si>
  <si>
    <t>2. Дисперсия и среднее квадратическое отклонение</t>
  </si>
  <si>
    <t>m * (x' - x̅)^2</t>
  </si>
  <si>
    <t>Ср знач (x̅)</t>
  </si>
  <si>
    <t>Дисперсия</t>
  </si>
  <si>
    <t>Ср кв откл (σ)</t>
  </si>
  <si>
    <t>3. Коэффициент вариации</t>
  </si>
  <si>
    <t>Коэф вариац</t>
  </si>
  <si>
    <t>5. Коэффициент ассиметрии</t>
  </si>
  <si>
    <t>--</t>
  </si>
  <si>
    <t>4. Колебание плотности</t>
  </si>
  <si>
    <t>m * (x' - x̅)^3</t>
  </si>
  <si>
    <t>Коэф. ассим</t>
  </si>
  <si>
    <t>М3</t>
  </si>
  <si>
    <t>Эксцесс</t>
  </si>
  <si>
    <t>m * (x' - x̅)^4</t>
  </si>
  <si>
    <t>6. Эксцесс</t>
  </si>
  <si>
    <t>М4</t>
  </si>
  <si>
    <t>(вар) x</t>
  </si>
  <si>
    <t>(част) m</t>
  </si>
  <si>
    <t>Задание: студенты некоторой группы, состоящей из 45 человек, сдали экзамен по курсу "Дискретная математика". Полученные оценки образуют следующий ряд чисел. Построить дискретный вариационный ряд. Результаты вычислений представить в таблице. Вариационный ряд изобразить графически.</t>
  </si>
  <si>
    <t>Задание: Представлен числовой ряд, состоящий из возрастов 63-x работников некоторой компании. Построить интервальный вариационный ряд, графически построить полигон, гистограмму и графики эмпирической функции и плотности распределения.</t>
  </si>
  <si>
    <t>x * m</t>
  </si>
  <si>
    <t>(x - x̅)^2</t>
  </si>
  <si>
    <t>m * (x - x̅)^3</t>
  </si>
  <si>
    <t>m * (x - x̅)^4</t>
  </si>
  <si>
    <t xml:space="preserve"> </t>
  </si>
  <si>
    <r>
      <t>x</t>
    </r>
    <r>
      <rPr>
        <sz val="11"/>
        <color theme="1"/>
        <rFont val="Calibri"/>
        <family val="2"/>
        <charset val="204"/>
      </rPr>
      <t>̅</t>
    </r>
    <r>
      <rPr>
        <sz val="11"/>
        <color theme="1"/>
        <rFont val="Calibri"/>
        <family val="2"/>
      </rPr>
      <t xml:space="preserve"> - σ</t>
    </r>
  </si>
  <si>
    <t>x̅ + σ</t>
  </si>
  <si>
    <t xml:space="preserve"> (σ / x̅)*100%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</si>
</sst>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3" fillId="2" borderId="2" applyNumberFormat="0" applyAlignment="0" applyProtection="0"/>
    <xf numFmtId="0" fontId="4" fillId="2" borderId="1" applyNumberFormat="0" applyAlignment="0" applyProtection="0"/>
    <xf numFmtId="0" fontId="5" fillId="3" borderId="3" applyNumberFormat="0" applyAlignment="0" applyProtection="0"/>
    <xf numFmtId="0" fontId="1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3" xfId="4" applyAlignment="1">
      <alignment horizontal="center" vertical="center"/>
    </xf>
    <xf numFmtId="2" fontId="5" fillId="3" borderId="3" xfId="4" applyNumberFormat="1" applyAlignment="1">
      <alignment horizontal="center" vertical="center"/>
    </xf>
    <xf numFmtId="9" fontId="5" fillId="3" borderId="3" xfId="1" applyFont="1" applyFill="1" applyBorder="1" applyAlignment="1">
      <alignment horizontal="center" vertical="center"/>
    </xf>
    <xf numFmtId="0" fontId="5" fillId="3" borderId="3" xfId="4" quotePrefix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3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quotePrefix="1" applyFont="1"/>
    <xf numFmtId="0" fontId="5" fillId="3" borderId="3" xfId="4"/>
    <xf numFmtId="0" fontId="5" fillId="3" borderId="3" xfId="4" quotePrefix="1" applyAlignment="1">
      <alignment horizontal="center"/>
    </xf>
    <xf numFmtId="0" fontId="0" fillId="0" borderId="0" xfId="0" applyAlignment="1">
      <alignment horizontal="center" vertical="center"/>
    </xf>
    <xf numFmtId="0" fontId="1" fillId="4" borderId="0" xfId="5" applyAlignment="1">
      <alignment horizontal="center" vertical="center"/>
    </xf>
    <xf numFmtId="0" fontId="5" fillId="3" borderId="3" xfId="4" applyAlignment="1">
      <alignment horizontal="center" vertical="center"/>
    </xf>
    <xf numFmtId="2" fontId="1" fillId="4" borderId="0" xfId="5" applyNumberFormat="1" applyAlignment="1">
      <alignment horizontal="center" vertical="center"/>
    </xf>
    <xf numFmtId="0" fontId="3" fillId="2" borderId="4" xfId="2" applyBorder="1" applyAlignment="1">
      <alignment horizontal="center" vertical="center" wrapText="1"/>
    </xf>
    <xf numFmtId="0" fontId="3" fillId="2" borderId="0" xfId="2" applyBorder="1" applyAlignment="1">
      <alignment horizontal="center" vertical="center" wrapText="1"/>
    </xf>
    <xf numFmtId="0" fontId="3" fillId="2" borderId="2" xfId="2" applyAlignment="1">
      <alignment horizontal="center" wrapText="1"/>
    </xf>
    <xf numFmtId="0" fontId="4" fillId="2" borderId="1" xfId="3" applyAlignment="1">
      <alignment horizontal="center" vertical="center"/>
    </xf>
  </cellXfs>
  <cellStyles count="6">
    <cellStyle name="40% — акцент2" xfId="5" builtinId="35"/>
    <cellStyle name="Вывод" xfId="2" builtinId="21"/>
    <cellStyle name="Вычисление" xfId="3" builtinId="22"/>
    <cellStyle name="Контрольная ячейка" xfId="4" builtinId="2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A19" workbookViewId="0">
      <selection activeCell="H43" sqref="H43"/>
    </sheetView>
  </sheetViews>
  <sheetFormatPr defaultColWidth="9.59765625" defaultRowHeight="14.25" x14ac:dyDescent="0.45"/>
  <cols>
    <col min="1" max="1" width="11.6640625" style="1" customWidth="1"/>
    <col min="2" max="2" width="7.265625" style="1" customWidth="1"/>
    <col min="3" max="4" width="9.59765625" style="1"/>
    <col min="5" max="5" width="7.265625" style="1" customWidth="1"/>
    <col min="6" max="6" width="10.46484375" style="1" customWidth="1"/>
    <col min="7" max="7" width="9" style="1" customWidth="1"/>
    <col min="8" max="8" width="9.59765625" style="1"/>
    <col min="9" max="9" width="11.73046875" style="1" customWidth="1"/>
    <col min="10" max="10" width="9.59765625" style="1"/>
    <col min="11" max="11" width="7.9296875" style="1" customWidth="1"/>
    <col min="12" max="12" width="7.33203125" style="1" customWidth="1"/>
    <col min="13" max="15" width="9.59765625" style="1"/>
    <col min="16" max="16" width="8.265625" style="1" customWidth="1"/>
    <col min="17" max="17" width="7.9296875" style="1" customWidth="1"/>
    <col min="18" max="16384" width="9.59765625" style="1"/>
  </cols>
  <sheetData>
    <row r="1" spans="1:19" x14ac:dyDescent="0.45">
      <c r="A1" s="1">
        <v>12</v>
      </c>
      <c r="B1" s="1">
        <v>6</v>
      </c>
      <c r="C1" s="1">
        <v>8</v>
      </c>
      <c r="D1" s="1">
        <v>6</v>
      </c>
      <c r="E1" s="1">
        <v>10</v>
      </c>
      <c r="F1" s="1">
        <v>11</v>
      </c>
      <c r="G1" s="1">
        <v>7</v>
      </c>
      <c r="H1" s="1">
        <v>10</v>
      </c>
      <c r="I1" s="1">
        <v>12</v>
      </c>
      <c r="J1" s="1">
        <v>8</v>
      </c>
      <c r="K1" s="1">
        <v>7</v>
      </c>
      <c r="L1" s="1">
        <v>7</v>
      </c>
      <c r="M1" s="1">
        <v>6</v>
      </c>
      <c r="N1" s="1">
        <v>7</v>
      </c>
      <c r="O1" s="1">
        <v>8</v>
      </c>
      <c r="P1" s="1">
        <v>6</v>
      </c>
      <c r="Q1" s="1">
        <v>11</v>
      </c>
      <c r="R1" s="1">
        <v>9</v>
      </c>
      <c r="S1" s="1">
        <v>11</v>
      </c>
    </row>
    <row r="2" spans="1:19" x14ac:dyDescent="0.45">
      <c r="A2" s="1">
        <v>9</v>
      </c>
      <c r="B2" s="1">
        <v>10</v>
      </c>
      <c r="C2" s="1">
        <v>11</v>
      </c>
      <c r="D2" s="1">
        <v>9</v>
      </c>
      <c r="E2" s="1">
        <v>10</v>
      </c>
      <c r="F2" s="1">
        <v>7</v>
      </c>
      <c r="G2" s="1">
        <v>8</v>
      </c>
      <c r="H2" s="1">
        <v>8</v>
      </c>
      <c r="I2" s="1">
        <v>8</v>
      </c>
      <c r="J2" s="1">
        <v>11</v>
      </c>
      <c r="K2" s="1">
        <v>9</v>
      </c>
      <c r="L2" s="1">
        <v>8</v>
      </c>
      <c r="M2" s="1">
        <v>7</v>
      </c>
      <c r="N2" s="1">
        <v>5</v>
      </c>
      <c r="O2" s="1">
        <v>9</v>
      </c>
      <c r="P2" s="1">
        <v>7</v>
      </c>
      <c r="Q2" s="1">
        <v>7</v>
      </c>
      <c r="R2" s="1">
        <v>14</v>
      </c>
      <c r="S2" s="1">
        <v>11</v>
      </c>
    </row>
    <row r="3" spans="1:19" x14ac:dyDescent="0.45">
      <c r="A3" s="1">
        <v>9</v>
      </c>
      <c r="B3" s="1">
        <v>8</v>
      </c>
      <c r="C3" s="1">
        <v>7</v>
      </c>
      <c r="D3" s="1">
        <v>4</v>
      </c>
      <c r="E3" s="1">
        <v>7</v>
      </c>
      <c r="F3" s="1">
        <v>5</v>
      </c>
      <c r="G3" s="1">
        <v>5</v>
      </c>
      <c r="H3" s="1">
        <v>10</v>
      </c>
      <c r="I3" s="1">
        <v>7</v>
      </c>
      <c r="J3" s="1">
        <v>7</v>
      </c>
      <c r="K3" s="1">
        <v>5</v>
      </c>
      <c r="L3" s="1">
        <v>8</v>
      </c>
      <c r="M3" s="1">
        <v>10</v>
      </c>
      <c r="N3" s="1">
        <v>10</v>
      </c>
      <c r="O3" s="1">
        <v>15</v>
      </c>
      <c r="P3" s="1">
        <v>10</v>
      </c>
      <c r="Q3" s="1">
        <v>10</v>
      </c>
      <c r="R3" s="1">
        <v>13</v>
      </c>
      <c r="S3" s="1">
        <v>12</v>
      </c>
    </row>
    <row r="4" spans="1:19" x14ac:dyDescent="0.45">
      <c r="A4" s="1">
        <v>11</v>
      </c>
      <c r="B4" s="1">
        <v>15</v>
      </c>
      <c r="C4" s="1">
        <v>6</v>
      </c>
    </row>
    <row r="6" spans="1:19" x14ac:dyDescent="0.45">
      <c r="A6" s="1" t="s">
        <v>0</v>
      </c>
      <c r="B6" s="1">
        <f>MAX(A1:S4)</f>
        <v>15</v>
      </c>
      <c r="D6" s="16" t="s">
        <v>5</v>
      </c>
      <c r="E6" s="16"/>
      <c r="F6" s="10"/>
      <c r="G6" s="1" t="s">
        <v>6</v>
      </c>
    </row>
    <row r="7" spans="1:19" x14ac:dyDescent="0.45">
      <c r="A7" s="1" t="s">
        <v>1</v>
      </c>
      <c r="B7" s="1">
        <f>MIN(A1:S4)</f>
        <v>4</v>
      </c>
      <c r="D7" s="2">
        <v>4</v>
      </c>
      <c r="E7" s="2">
        <f>D7+$B$14</f>
        <v>5.5714285714285712</v>
      </c>
      <c r="F7" s="11">
        <f>5.57-0.001</f>
        <v>5.569</v>
      </c>
      <c r="G7" s="1">
        <f t="array" ref="G7:G13">FREQUENCY(A1:S5,F7:F13)</f>
        <v>5</v>
      </c>
    </row>
    <row r="8" spans="1:19" x14ac:dyDescent="0.45">
      <c r="D8" s="2">
        <f>E7</f>
        <v>5.5714285714285712</v>
      </c>
      <c r="E8" s="2">
        <f>D8+$B$14</f>
        <v>7.1428571428571423</v>
      </c>
      <c r="F8" s="11">
        <f>7.14-0.001</f>
        <v>7.1389999999999993</v>
      </c>
      <c r="G8" s="1">
        <v>17</v>
      </c>
    </row>
    <row r="9" spans="1:19" x14ac:dyDescent="0.45">
      <c r="A9" s="1" t="s">
        <v>2</v>
      </c>
      <c r="B9" s="1">
        <v>60</v>
      </c>
      <c r="D9" s="2">
        <f t="shared" ref="D9:D13" si="0">E8</f>
        <v>7.1428571428571423</v>
      </c>
      <c r="E9" s="2">
        <f t="shared" ref="E9:E13" si="1">D9+$B$14</f>
        <v>8.7142857142857135</v>
      </c>
      <c r="F9" s="11">
        <f>8.71-0.001</f>
        <v>8.7090000000000014</v>
      </c>
      <c r="G9" s="1">
        <v>9</v>
      </c>
    </row>
    <row r="10" spans="1:19" x14ac:dyDescent="0.45">
      <c r="D10" s="2">
        <f t="shared" si="0"/>
        <v>8.7142857142857135</v>
      </c>
      <c r="E10" s="2">
        <f t="shared" si="1"/>
        <v>10.285714285714285</v>
      </c>
      <c r="F10" s="11">
        <f>10.29-0.001</f>
        <v>10.289</v>
      </c>
      <c r="G10" s="1">
        <v>15</v>
      </c>
    </row>
    <row r="11" spans="1:19" x14ac:dyDescent="0.45">
      <c r="A11" s="1" t="s">
        <v>3</v>
      </c>
      <c r="B11" s="1">
        <f>1+1.4*LN(B9)</f>
        <v>6.7320823871109399</v>
      </c>
      <c r="D11" s="2">
        <f t="shared" si="0"/>
        <v>10.285714285714285</v>
      </c>
      <c r="E11" s="2">
        <f t="shared" si="1"/>
        <v>11.857142857142856</v>
      </c>
      <c r="F11" s="11">
        <f>11.86-0.001</f>
        <v>11.859</v>
      </c>
      <c r="G11" s="1">
        <v>7</v>
      </c>
    </row>
    <row r="12" spans="1:19" x14ac:dyDescent="0.45">
      <c r="B12" s="1">
        <v>7</v>
      </c>
      <c r="D12" s="2">
        <f t="shared" si="0"/>
        <v>11.857142857142856</v>
      </c>
      <c r="E12" s="2">
        <f t="shared" si="1"/>
        <v>13.428571428571427</v>
      </c>
      <c r="F12" s="11">
        <f>13.43-0.001</f>
        <v>13.429</v>
      </c>
      <c r="G12" s="1">
        <v>4</v>
      </c>
    </row>
    <row r="13" spans="1:19" x14ac:dyDescent="0.45">
      <c r="D13" s="2">
        <f t="shared" si="0"/>
        <v>13.428571428571427</v>
      </c>
      <c r="E13" s="2">
        <f t="shared" si="1"/>
        <v>14.999999999999998</v>
      </c>
      <c r="F13" s="11">
        <f>15+0.001</f>
        <v>15.000999999999999</v>
      </c>
      <c r="G13" s="1">
        <v>3</v>
      </c>
    </row>
    <row r="14" spans="1:19" x14ac:dyDescent="0.45">
      <c r="A14" s="3" t="s">
        <v>4</v>
      </c>
      <c r="B14" s="1">
        <f>(B6-B7)/B12</f>
        <v>1.5714285714285714</v>
      </c>
      <c r="F14" s="10"/>
      <c r="G14" s="1">
        <f>SUM(G7:G13)</f>
        <v>60</v>
      </c>
      <c r="I14" s="17" t="s">
        <v>10</v>
      </c>
      <c r="J14" s="17"/>
      <c r="K14" s="17"/>
      <c r="L14" s="17"/>
      <c r="M14" s="17"/>
      <c r="N14" s="17"/>
      <c r="O14" s="17"/>
    </row>
    <row r="15" spans="1:19" ht="14.65" thickBot="1" x14ac:dyDescent="0.5"/>
    <row r="16" spans="1:19" ht="15" thickTop="1" thickBot="1" x14ac:dyDescent="0.5">
      <c r="A16" s="17" t="s">
        <v>7</v>
      </c>
      <c r="B16" s="17"/>
      <c r="C16" s="17"/>
      <c r="D16" s="17"/>
      <c r="E16" s="17"/>
      <c r="F16" s="17"/>
      <c r="G16" s="17"/>
      <c r="I16" s="4" t="s">
        <v>13</v>
      </c>
      <c r="J16" s="4">
        <f>SUM(I19:J25)/SUM(G7:G13)</f>
        <v>6.2859637188208604</v>
      </c>
      <c r="M16" s="18" t="s">
        <v>14</v>
      </c>
      <c r="N16" s="18"/>
      <c r="O16" s="4">
        <f>SQRT(J16)</f>
        <v>2.507182426314619</v>
      </c>
    </row>
    <row r="17" spans="1:17" ht="15" thickTop="1" thickBot="1" x14ac:dyDescent="0.5"/>
    <row r="18" spans="1:17" ht="15" thickTop="1" thickBot="1" x14ac:dyDescent="0.5">
      <c r="A18" s="1" t="s">
        <v>8</v>
      </c>
      <c r="C18" s="1" t="s">
        <v>9</v>
      </c>
      <c r="F18" s="4" t="s">
        <v>12</v>
      </c>
      <c r="G18" s="4">
        <f>SUM(C19:C25)/SUM(G7:G13)</f>
        <v>8.6095238095238091</v>
      </c>
      <c r="I18" s="16" t="s">
        <v>11</v>
      </c>
      <c r="J18" s="16"/>
    </row>
    <row r="19" spans="1:17" ht="14.65" thickTop="1" x14ac:dyDescent="0.45">
      <c r="A19" s="2">
        <f>(E7+D7)/2</f>
        <v>4.7857142857142856</v>
      </c>
      <c r="C19" s="1">
        <f>A19*G7</f>
        <v>23.928571428571427</v>
      </c>
      <c r="I19" s="16">
        <f t="shared" ref="I19:I25" si="2">G7*(A19-$G$18)^2</f>
        <v>73.107596371882082</v>
      </c>
      <c r="J19" s="16"/>
    </row>
    <row r="20" spans="1:17" x14ac:dyDescent="0.45">
      <c r="A20" s="2">
        <f t="shared" ref="A20:A25" si="3">(E8+D8)/2</f>
        <v>6.3571428571428568</v>
      </c>
      <c r="C20" s="1">
        <f t="shared" ref="C20:C25" si="4">A20*G8</f>
        <v>108.07142857142857</v>
      </c>
      <c r="I20" s="16">
        <f t="shared" si="2"/>
        <v>86.244739229024944</v>
      </c>
      <c r="J20" s="16"/>
    </row>
    <row r="21" spans="1:17" x14ac:dyDescent="0.45">
      <c r="A21" s="2">
        <f t="shared" si="3"/>
        <v>7.9285714285714279</v>
      </c>
      <c r="C21" s="1">
        <f t="shared" si="4"/>
        <v>71.357142857142847</v>
      </c>
      <c r="I21" s="16">
        <f t="shared" si="2"/>
        <v>4.1732653061224525</v>
      </c>
      <c r="J21" s="16"/>
    </row>
    <row r="22" spans="1:17" x14ac:dyDescent="0.45">
      <c r="A22" s="2">
        <f t="shared" si="3"/>
        <v>9.5</v>
      </c>
      <c r="C22" s="1">
        <f t="shared" si="4"/>
        <v>142.5</v>
      </c>
      <c r="I22" s="16">
        <f t="shared" si="2"/>
        <v>11.894217687074841</v>
      </c>
      <c r="J22" s="16"/>
    </row>
    <row r="23" spans="1:17" x14ac:dyDescent="0.45">
      <c r="A23" s="2">
        <f t="shared" si="3"/>
        <v>11.071428571428569</v>
      </c>
      <c r="C23" s="1">
        <f>A23*G11</f>
        <v>77.499999999999986</v>
      </c>
      <c r="I23" s="16">
        <f t="shared" si="2"/>
        <v>42.426825396825336</v>
      </c>
      <c r="J23" s="16"/>
    </row>
    <row r="24" spans="1:17" x14ac:dyDescent="0.45">
      <c r="A24" s="2">
        <f t="shared" si="3"/>
        <v>12.642857142857142</v>
      </c>
      <c r="C24" s="1">
        <f t="shared" si="4"/>
        <v>50.571428571428569</v>
      </c>
      <c r="H24" s="2"/>
      <c r="I24" s="16">
        <f t="shared" si="2"/>
        <v>65.071111111111108</v>
      </c>
      <c r="J24" s="16"/>
    </row>
    <row r="25" spans="1:17" x14ac:dyDescent="0.45">
      <c r="A25" s="2">
        <f t="shared" si="3"/>
        <v>14.214285714285712</v>
      </c>
      <c r="C25" s="1">
        <f t="shared" si="4"/>
        <v>42.642857142857139</v>
      </c>
      <c r="H25" s="2"/>
      <c r="I25" s="16">
        <f t="shared" si="2"/>
        <v>94.24006802721081</v>
      </c>
      <c r="J25" s="16"/>
    </row>
    <row r="26" spans="1:17" x14ac:dyDescent="0.45">
      <c r="A26" s="2"/>
    </row>
    <row r="27" spans="1:17" x14ac:dyDescent="0.45">
      <c r="A27" s="19" t="s">
        <v>15</v>
      </c>
      <c r="B27" s="19"/>
      <c r="C27" s="19"/>
      <c r="E27" s="19" t="s">
        <v>19</v>
      </c>
      <c r="F27" s="19"/>
      <c r="G27" s="19"/>
      <c r="I27" s="17" t="s">
        <v>17</v>
      </c>
      <c r="J27" s="17"/>
      <c r="K27" s="17"/>
      <c r="L27" s="17"/>
      <c r="N27" s="17" t="s">
        <v>25</v>
      </c>
      <c r="O27" s="17"/>
      <c r="P27" s="17"/>
      <c r="Q27" s="17"/>
    </row>
    <row r="28" spans="1:17" ht="14.65" thickBot="1" x14ac:dyDescent="0.5">
      <c r="A28" s="2"/>
      <c r="E28" s="12">
        <f>$G$18-(1.96*$O$16)</f>
        <v>3.6954462539471562</v>
      </c>
      <c r="F28" s="13" t="s">
        <v>18</v>
      </c>
      <c r="G28" s="12">
        <f>$G$18+(1.96*$O$16)</f>
        <v>13.523601365100461</v>
      </c>
    </row>
    <row r="29" spans="1:17" ht="15" thickTop="1" thickBot="1" x14ac:dyDescent="0.5">
      <c r="A29" s="5" t="s">
        <v>16</v>
      </c>
      <c r="B29" s="6">
        <f>O16/G18</f>
        <v>0.291210348189198</v>
      </c>
      <c r="E29" s="4">
        <f>G18-O16</f>
        <v>6.1023413832091897</v>
      </c>
      <c r="F29" s="7" t="s">
        <v>18</v>
      </c>
      <c r="G29" s="4">
        <f>G18+O16</f>
        <v>11.116706235838429</v>
      </c>
      <c r="I29" s="4" t="s">
        <v>21</v>
      </c>
      <c r="J29" s="4">
        <f>L32/O16^3</f>
        <v>0.45372255398607508</v>
      </c>
      <c r="N29" s="4" t="s">
        <v>23</v>
      </c>
      <c r="O29" s="4">
        <f>Q32/O16^4 - 3</f>
        <v>-0.55611800374227416</v>
      </c>
    </row>
    <row r="30" spans="1:17" ht="14.65" thickTop="1" x14ac:dyDescent="0.45">
      <c r="A30" s="2"/>
      <c r="B30" s="1" t="s">
        <v>38</v>
      </c>
      <c r="E30" s="1" t="s">
        <v>36</v>
      </c>
      <c r="G30" s="1" t="s">
        <v>37</v>
      </c>
    </row>
    <row r="31" spans="1:17" x14ac:dyDescent="0.45">
      <c r="I31" s="16" t="s">
        <v>20</v>
      </c>
      <c r="J31" s="16"/>
      <c r="L31" s="1" t="s">
        <v>22</v>
      </c>
      <c r="N31" s="16" t="s">
        <v>24</v>
      </c>
      <c r="O31" s="16"/>
      <c r="Q31" s="1" t="s">
        <v>26</v>
      </c>
    </row>
    <row r="32" spans="1:17" x14ac:dyDescent="0.45">
      <c r="I32" s="16">
        <f t="shared" ref="I32:I38" si="5">G7*(A19-$G$18)^3</f>
        <v>-279.5495232696253</v>
      </c>
      <c r="J32" s="16"/>
      <c r="L32" s="1">
        <f>SUM(I32:J38)/G14</f>
        <v>7.1506936615916068</v>
      </c>
      <c r="N32" s="16">
        <f t="shared" ref="N32:N38" si="6">G7*(A19-$G$18)^4</f>
        <v>1068.9441294548051</v>
      </c>
      <c r="O32" s="16"/>
      <c r="Q32" s="1">
        <f>SUM(N32:O38)/G14</f>
        <v>96.565939930892895</v>
      </c>
    </row>
    <row r="33" spans="9:15" x14ac:dyDescent="0.45">
      <c r="I33" s="16">
        <f t="shared" si="5"/>
        <v>-194.25600788251811</v>
      </c>
      <c r="J33" s="16"/>
      <c r="N33" s="16">
        <f t="shared" si="6"/>
        <v>437.53853204014797</v>
      </c>
      <c r="O33" s="16"/>
    </row>
    <row r="34" spans="9:15" x14ac:dyDescent="0.45">
      <c r="I34" s="16">
        <f t="shared" si="5"/>
        <v>-2.8417949465500518</v>
      </c>
      <c r="J34" s="16"/>
      <c r="N34" s="16">
        <f t="shared" si="6"/>
        <v>1.9351270350317027</v>
      </c>
      <c r="O34" s="16"/>
    </row>
    <row r="35" spans="9:15" x14ac:dyDescent="0.45">
      <c r="I35" s="16">
        <f t="shared" si="5"/>
        <v>10.591517654680933</v>
      </c>
      <c r="J35" s="16"/>
      <c r="N35" s="16">
        <f t="shared" si="6"/>
        <v>9.431494292501597</v>
      </c>
      <c r="O35" s="16"/>
    </row>
    <row r="36" spans="9:15" x14ac:dyDescent="0.45">
      <c r="I36" s="16">
        <f t="shared" si="5"/>
        <v>104.45080347694612</v>
      </c>
      <c r="J36" s="16"/>
      <c r="N36" s="16">
        <f t="shared" si="6"/>
        <v>257.14793046467196</v>
      </c>
      <c r="O36" s="16"/>
    </row>
    <row r="37" spans="9:15" x14ac:dyDescent="0.45">
      <c r="I37" s="16">
        <f t="shared" si="5"/>
        <v>262.45348148148145</v>
      </c>
      <c r="J37" s="16"/>
      <c r="N37" s="16">
        <f t="shared" si="6"/>
        <v>1058.5623753086418</v>
      </c>
      <c r="O37" s="16"/>
    </row>
    <row r="38" spans="9:15" x14ac:dyDescent="0.45">
      <c r="I38" s="16">
        <f t="shared" si="5"/>
        <v>528.19314318108138</v>
      </c>
      <c r="J38" s="16"/>
      <c r="N38" s="16">
        <f t="shared" si="6"/>
        <v>2960.3968072577736</v>
      </c>
      <c r="O38" s="16"/>
    </row>
  </sheetData>
  <mergeCells count="32">
    <mergeCell ref="N38:O38"/>
    <mergeCell ref="I37:J37"/>
    <mergeCell ref="I38:J38"/>
    <mergeCell ref="N27:Q27"/>
    <mergeCell ref="N31:O31"/>
    <mergeCell ref="N32:O32"/>
    <mergeCell ref="N33:O33"/>
    <mergeCell ref="N34:O34"/>
    <mergeCell ref="N35:O35"/>
    <mergeCell ref="N36:O36"/>
    <mergeCell ref="N37:O37"/>
    <mergeCell ref="I31:J31"/>
    <mergeCell ref="I32:J32"/>
    <mergeCell ref="I33:J33"/>
    <mergeCell ref="I34:J34"/>
    <mergeCell ref="I35:J35"/>
    <mergeCell ref="I36:J36"/>
    <mergeCell ref="I25:J25"/>
    <mergeCell ref="M16:N16"/>
    <mergeCell ref="A27:C27"/>
    <mergeCell ref="E27:G27"/>
    <mergeCell ref="I27:L27"/>
    <mergeCell ref="I20:J20"/>
    <mergeCell ref="I21:J21"/>
    <mergeCell ref="I22:J22"/>
    <mergeCell ref="I23:J23"/>
    <mergeCell ref="I24:J24"/>
    <mergeCell ref="D6:E6"/>
    <mergeCell ref="A16:G16"/>
    <mergeCell ref="I14:O14"/>
    <mergeCell ref="I18:J18"/>
    <mergeCell ref="I19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60AF-CD3C-419D-A72F-7EEABAB13180}">
  <dimension ref="A1:R45"/>
  <sheetViews>
    <sheetView topLeftCell="A19" zoomScale="92" workbookViewId="0">
      <selection activeCell="D22" sqref="D22"/>
    </sheetView>
  </sheetViews>
  <sheetFormatPr defaultRowHeight="14.25" x14ac:dyDescent="0.45"/>
  <cols>
    <col min="1" max="1" width="11.265625" customWidth="1"/>
    <col min="7" max="7" width="10.19921875" customWidth="1"/>
    <col min="9" max="9" width="10.796875" customWidth="1"/>
  </cols>
  <sheetData>
    <row r="1" spans="1:16" ht="25.15" customHeight="1" x14ac:dyDescent="0.45">
      <c r="A1" s="20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1.65" customHeight="1" x14ac:dyDescent="0.4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x14ac:dyDescent="0.45">
      <c r="A3" s="1">
        <v>4</v>
      </c>
      <c r="B3" s="1">
        <v>2</v>
      </c>
      <c r="C3" s="1">
        <v>3</v>
      </c>
      <c r="D3" s="1">
        <v>2</v>
      </c>
      <c r="E3" s="1">
        <v>4</v>
      </c>
      <c r="F3" s="1">
        <v>3</v>
      </c>
      <c r="G3" s="1">
        <v>5</v>
      </c>
      <c r="H3" s="1">
        <v>2</v>
      </c>
      <c r="I3" s="1">
        <v>5</v>
      </c>
      <c r="J3" s="1"/>
    </row>
    <row r="4" spans="1:16" x14ac:dyDescent="0.45">
      <c r="A4" s="1">
        <v>3</v>
      </c>
      <c r="B4" s="1">
        <v>2</v>
      </c>
      <c r="C4" s="1">
        <v>3</v>
      </c>
      <c r="D4" s="1">
        <v>5</v>
      </c>
      <c r="E4" s="1">
        <v>4</v>
      </c>
      <c r="F4" s="1">
        <v>3</v>
      </c>
      <c r="G4" s="1">
        <v>4</v>
      </c>
      <c r="H4" s="1">
        <v>2</v>
      </c>
      <c r="I4" s="1">
        <v>5</v>
      </c>
      <c r="J4" s="1"/>
    </row>
    <row r="5" spans="1:16" x14ac:dyDescent="0.45">
      <c r="A5" s="1">
        <v>5</v>
      </c>
      <c r="B5" s="1">
        <v>2</v>
      </c>
      <c r="C5" s="1">
        <v>3</v>
      </c>
      <c r="D5" s="1">
        <v>3</v>
      </c>
      <c r="E5" s="1">
        <v>4</v>
      </c>
      <c r="F5" s="1">
        <v>2</v>
      </c>
      <c r="G5" s="1">
        <v>3</v>
      </c>
      <c r="H5" s="1">
        <v>3</v>
      </c>
      <c r="I5" s="1">
        <v>5</v>
      </c>
      <c r="J5" s="1"/>
    </row>
    <row r="6" spans="1:16" x14ac:dyDescent="0.45">
      <c r="A6" s="1">
        <v>3</v>
      </c>
      <c r="B6" s="1">
        <v>2</v>
      </c>
      <c r="C6" s="1">
        <v>2</v>
      </c>
      <c r="D6" s="1">
        <v>3</v>
      </c>
      <c r="E6" s="1">
        <v>3</v>
      </c>
      <c r="F6" s="1">
        <v>4</v>
      </c>
      <c r="G6" s="1">
        <v>2</v>
      </c>
      <c r="H6" s="1">
        <v>5</v>
      </c>
      <c r="I6" s="1">
        <v>5</v>
      </c>
      <c r="J6" s="1"/>
    </row>
    <row r="7" spans="1:16" x14ac:dyDescent="0.45">
      <c r="A7" s="1">
        <v>4</v>
      </c>
      <c r="B7" s="1">
        <v>4</v>
      </c>
      <c r="C7" s="1">
        <v>3</v>
      </c>
      <c r="D7" s="1">
        <v>3</v>
      </c>
      <c r="E7" s="1">
        <v>2</v>
      </c>
      <c r="F7" s="1">
        <v>2</v>
      </c>
      <c r="G7" s="1">
        <v>2</v>
      </c>
      <c r="H7" s="1">
        <v>3</v>
      </c>
      <c r="I7" s="1">
        <v>5</v>
      </c>
      <c r="J7" s="1"/>
    </row>
    <row r="8" spans="1:16" x14ac:dyDescent="0.45">
      <c r="A8" s="1"/>
      <c r="B8" s="1"/>
      <c r="C8" s="1"/>
      <c r="D8" s="1"/>
      <c r="E8" s="1"/>
      <c r="F8" s="1"/>
      <c r="G8" s="1"/>
    </row>
    <row r="9" spans="1:16" x14ac:dyDescent="0.45">
      <c r="A9" s="1" t="s">
        <v>0</v>
      </c>
      <c r="B9" s="1">
        <f>MAX(A3:I7)</f>
        <v>5</v>
      </c>
      <c r="C9" s="1"/>
      <c r="D9" s="1"/>
      <c r="E9" s="1"/>
      <c r="F9" s="1"/>
      <c r="G9" s="1"/>
    </row>
    <row r="10" spans="1:16" x14ac:dyDescent="0.45">
      <c r="A10" s="1" t="s">
        <v>1</v>
      </c>
      <c r="B10" s="1">
        <f>MIN(A3:I7)</f>
        <v>2</v>
      </c>
      <c r="C10" s="1"/>
      <c r="D10" s="1"/>
      <c r="E10" s="1"/>
      <c r="F10" s="1"/>
      <c r="G10" s="1"/>
    </row>
    <row r="11" spans="1:16" x14ac:dyDescent="0.45">
      <c r="A11" s="1"/>
      <c r="B11" s="1"/>
      <c r="C11" s="1"/>
      <c r="D11" s="1"/>
      <c r="E11" s="1"/>
      <c r="F11" s="1"/>
      <c r="G11" s="1"/>
    </row>
    <row r="12" spans="1:16" x14ac:dyDescent="0.45">
      <c r="A12" s="1" t="s">
        <v>27</v>
      </c>
      <c r="B12" s="1" t="s">
        <v>28</v>
      </c>
      <c r="C12" s="1"/>
      <c r="D12" s="1"/>
      <c r="F12" s="1"/>
      <c r="G12" s="1"/>
    </row>
    <row r="13" spans="1:16" x14ac:dyDescent="0.45">
      <c r="A13" s="1">
        <v>2</v>
      </c>
      <c r="B13" s="1">
        <f t="array" ref="B13:B16">FREQUENCY(A3:I7,A13:A16)</f>
        <v>13</v>
      </c>
      <c r="C13" s="1"/>
      <c r="D13" s="1"/>
      <c r="F13" s="1"/>
      <c r="G13" s="1"/>
    </row>
    <row r="14" spans="1:16" x14ac:dyDescent="0.45">
      <c r="A14" s="1">
        <v>3</v>
      </c>
      <c r="B14" s="1">
        <v>15</v>
      </c>
      <c r="C14" s="1"/>
      <c r="D14" s="1"/>
      <c r="F14" s="1"/>
      <c r="G14" s="1"/>
    </row>
    <row r="15" spans="1:16" x14ac:dyDescent="0.45">
      <c r="A15" s="1">
        <v>4</v>
      </c>
      <c r="B15" s="1">
        <v>8</v>
      </c>
      <c r="C15" s="1"/>
      <c r="D15" s="1"/>
      <c r="F15" s="1"/>
      <c r="G15" s="1"/>
    </row>
    <row r="16" spans="1:16" x14ac:dyDescent="0.45">
      <c r="A16" s="1">
        <v>5</v>
      </c>
      <c r="B16" s="1">
        <v>9</v>
      </c>
      <c r="C16" s="1"/>
      <c r="D16" s="1"/>
      <c r="F16" s="1"/>
      <c r="G16" s="1"/>
    </row>
    <row r="17" spans="1:18" x14ac:dyDescent="0.45">
      <c r="A17" s="1"/>
      <c r="B17" s="1">
        <f>SUM(B13:B16)</f>
        <v>45</v>
      </c>
      <c r="C17" s="1"/>
      <c r="D17" s="1"/>
      <c r="E17" s="1"/>
      <c r="F17" s="1"/>
      <c r="G17" s="1"/>
    </row>
    <row r="18" spans="1:18" x14ac:dyDescent="0.45">
      <c r="A18" s="1"/>
      <c r="B18" s="1"/>
      <c r="C18" s="1"/>
      <c r="D18" s="1"/>
      <c r="E18" s="1"/>
      <c r="F18" s="1"/>
    </row>
    <row r="19" spans="1:18" x14ac:dyDescent="0.45">
      <c r="A19" s="17" t="s">
        <v>7</v>
      </c>
      <c r="B19" s="17"/>
      <c r="C19" s="17"/>
      <c r="D19" s="17"/>
      <c r="E19" s="17"/>
      <c r="G19" s="17" t="s">
        <v>10</v>
      </c>
      <c r="H19" s="17"/>
      <c r="I19" s="17"/>
      <c r="J19" s="17"/>
      <c r="K19" s="17"/>
      <c r="L19" s="17"/>
      <c r="M19" s="17"/>
    </row>
    <row r="20" spans="1:18" ht="14.65" thickBot="1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8" ht="15" thickTop="1" thickBot="1" x14ac:dyDescent="0.5">
      <c r="A21" s="1" t="s">
        <v>31</v>
      </c>
      <c r="B21" s="1"/>
      <c r="C21" s="4" t="s">
        <v>12</v>
      </c>
      <c r="D21" s="4">
        <f>SUM(A22:A25)/SUM(B13:B16)</f>
        <v>3.2888888888888888</v>
      </c>
      <c r="E21" s="1"/>
      <c r="G21" s="4" t="s">
        <v>13</v>
      </c>
      <c r="H21" s="4">
        <f>SUM(G24:H27)/SUM(B13:B16)</f>
        <v>0.11507270233196161</v>
      </c>
      <c r="I21" s="1"/>
      <c r="J21" s="1"/>
      <c r="K21" s="18" t="s">
        <v>14</v>
      </c>
      <c r="L21" s="18"/>
      <c r="M21" s="4">
        <f>SQRT(H21)</f>
        <v>0.33922367596021596</v>
      </c>
    </row>
    <row r="22" spans="1:18" ht="14.65" thickTop="1" x14ac:dyDescent="0.45">
      <c r="A22" s="1">
        <f>A13*B13</f>
        <v>26</v>
      </c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8" x14ac:dyDescent="0.45">
      <c r="A23" s="1">
        <f t="shared" ref="A23:A25" si="0">A14*B14</f>
        <v>45</v>
      </c>
      <c r="B23" s="1"/>
      <c r="D23" s="1"/>
      <c r="E23" s="1"/>
      <c r="F23" s="1"/>
      <c r="G23" s="16" t="s">
        <v>32</v>
      </c>
      <c r="H23" s="16"/>
      <c r="I23" s="1"/>
      <c r="J23" s="1"/>
      <c r="K23" s="1"/>
      <c r="L23" s="1"/>
      <c r="M23" s="1"/>
    </row>
    <row r="24" spans="1:18" x14ac:dyDescent="0.45">
      <c r="A24" s="1">
        <f t="shared" si="0"/>
        <v>32</v>
      </c>
      <c r="B24" s="1"/>
      <c r="D24" s="1"/>
      <c r="E24" s="1"/>
      <c r="F24" s="1"/>
      <c r="G24" s="16">
        <f>(A13-$D$21)^2</f>
        <v>1.6612345679012341</v>
      </c>
      <c r="H24" s="16"/>
      <c r="I24" s="1"/>
      <c r="J24" s="1"/>
      <c r="K24" s="1"/>
      <c r="L24" s="1"/>
      <c r="M24" s="1"/>
    </row>
    <row r="25" spans="1:18" x14ac:dyDescent="0.45">
      <c r="A25" s="1">
        <f t="shared" si="0"/>
        <v>45</v>
      </c>
      <c r="B25" s="1"/>
      <c r="D25" s="1"/>
      <c r="E25" s="1"/>
      <c r="F25" s="1"/>
      <c r="G25" s="16">
        <f t="shared" ref="G25:G27" si="1">(A14-$D$21)^2</f>
        <v>8.3456790123456706E-2</v>
      </c>
      <c r="H25" s="16"/>
      <c r="I25" s="1"/>
      <c r="J25" s="1"/>
      <c r="K25" s="1"/>
      <c r="L25" s="1"/>
      <c r="M25" s="1"/>
    </row>
    <row r="26" spans="1:18" x14ac:dyDescent="0.45">
      <c r="A26" s="1"/>
      <c r="B26" s="1"/>
      <c r="D26" s="1"/>
      <c r="E26" s="1"/>
      <c r="F26" s="1"/>
      <c r="G26" s="16">
        <f t="shared" si="1"/>
        <v>0.50567901234567925</v>
      </c>
      <c r="H26" s="16"/>
      <c r="I26" s="1"/>
      <c r="J26" s="1"/>
      <c r="K26" s="1"/>
      <c r="L26" s="1"/>
      <c r="M26" s="1"/>
    </row>
    <row r="27" spans="1:18" x14ac:dyDescent="0.45">
      <c r="A27" s="1"/>
      <c r="B27" s="1"/>
      <c r="D27" s="1"/>
      <c r="E27" s="1"/>
      <c r="F27" s="1"/>
      <c r="G27" s="16">
        <f t="shared" si="1"/>
        <v>2.9279012345679019</v>
      </c>
      <c r="H27" s="16"/>
      <c r="I27" s="1"/>
      <c r="J27" s="1"/>
      <c r="K27" s="1"/>
      <c r="L27" s="1"/>
      <c r="M27" s="1"/>
    </row>
    <row r="28" spans="1:18" x14ac:dyDescent="0.45">
      <c r="A28" s="1"/>
      <c r="B28" s="1"/>
      <c r="D28" s="1"/>
      <c r="E28" s="1"/>
      <c r="F28" s="1"/>
      <c r="G28" s="16"/>
      <c r="H28" s="16"/>
      <c r="I28" s="1"/>
      <c r="J28" s="1"/>
      <c r="K28" s="1"/>
      <c r="L28" s="1"/>
      <c r="M28" s="1"/>
    </row>
    <row r="29" spans="1:18" x14ac:dyDescent="0.45">
      <c r="G29" s="16"/>
      <c r="H29" s="16"/>
      <c r="I29" s="1"/>
      <c r="J29" s="1"/>
      <c r="K29" s="1"/>
      <c r="L29" s="1"/>
      <c r="M29" s="1"/>
    </row>
    <row r="30" spans="1:18" x14ac:dyDescent="0.45">
      <c r="G30" s="16"/>
      <c r="H30" s="16"/>
      <c r="I30" s="1"/>
      <c r="J30" s="1"/>
      <c r="K30" s="1"/>
      <c r="L30" s="1"/>
      <c r="M30" s="1"/>
    </row>
    <row r="31" spans="1:18" x14ac:dyDescent="0.45">
      <c r="A31" s="2"/>
      <c r="B31" s="1"/>
      <c r="C31" s="1"/>
      <c r="D31" s="1"/>
      <c r="E31" s="1"/>
      <c r="F31" s="1"/>
      <c r="N31" s="1"/>
      <c r="O31" s="1"/>
      <c r="P31" s="1"/>
      <c r="Q31" s="1"/>
      <c r="R31" s="1"/>
    </row>
    <row r="32" spans="1:18" x14ac:dyDescent="0.45">
      <c r="A32" s="19" t="s">
        <v>15</v>
      </c>
      <c r="B32" s="19"/>
      <c r="C32" s="19"/>
      <c r="D32" s="1"/>
      <c r="E32" s="19" t="s">
        <v>19</v>
      </c>
      <c r="F32" s="19"/>
      <c r="G32" s="19"/>
      <c r="H32" s="1"/>
      <c r="I32" s="17" t="s">
        <v>17</v>
      </c>
      <c r="J32" s="17"/>
      <c r="K32" s="17"/>
      <c r="L32" s="17"/>
      <c r="M32" s="1"/>
      <c r="N32" s="17" t="s">
        <v>25</v>
      </c>
      <c r="O32" s="17"/>
      <c r="P32" s="17"/>
      <c r="Q32" s="17"/>
      <c r="R32" s="1"/>
    </row>
    <row r="33" spans="1:18" ht="14.65" thickBot="1" x14ac:dyDescent="0.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" thickTop="1" thickBot="1" x14ac:dyDescent="0.5">
      <c r="A34" s="5" t="s">
        <v>16</v>
      </c>
      <c r="B34" s="6">
        <f>M21/D21</f>
        <v>0.10314233390682243</v>
      </c>
      <c r="C34" s="1"/>
      <c r="D34" s="1"/>
      <c r="E34" s="14">
        <f>D21-M21</f>
        <v>2.9496652129286729</v>
      </c>
      <c r="F34" s="15" t="s">
        <v>18</v>
      </c>
      <c r="G34" s="14">
        <f>D21+M21</f>
        <v>3.6281125648491046</v>
      </c>
      <c r="H34" s="1"/>
      <c r="I34" s="4" t="s">
        <v>21</v>
      </c>
      <c r="J34" s="4">
        <f>L37/M21^3</f>
        <v>11.254675440291079</v>
      </c>
      <c r="K34" s="1"/>
      <c r="L34" s="1"/>
      <c r="M34" s="1"/>
      <c r="N34" s="4" t="s">
        <v>23</v>
      </c>
      <c r="O34" s="4">
        <f>Q37/M21^4 - 3</f>
        <v>190.29422600250743</v>
      </c>
      <c r="P34" s="1"/>
      <c r="Q34" s="1"/>
      <c r="R34" s="1"/>
    </row>
    <row r="35" spans="1:18" ht="14.65" thickTop="1" x14ac:dyDescent="0.45">
      <c r="A35" s="2"/>
      <c r="B35" s="1" t="s">
        <v>38</v>
      </c>
      <c r="C35" s="1"/>
      <c r="D35" s="1"/>
      <c r="E35" s="1" t="s">
        <v>36</v>
      </c>
      <c r="F35" s="1"/>
      <c r="G35" s="1" t="s">
        <v>37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45">
      <c r="A36" s="1"/>
      <c r="B36" s="1"/>
      <c r="C36" s="1"/>
      <c r="D36" s="1"/>
      <c r="E36" s="1"/>
      <c r="F36" s="1"/>
      <c r="G36" s="1"/>
      <c r="H36" s="1"/>
      <c r="I36" s="16" t="s">
        <v>33</v>
      </c>
      <c r="J36" s="16"/>
      <c r="K36" s="1"/>
      <c r="L36" s="1" t="s">
        <v>22</v>
      </c>
      <c r="M36" s="1"/>
      <c r="N36" s="16" t="s">
        <v>34</v>
      </c>
      <c r="O36" s="16"/>
      <c r="P36" s="1"/>
      <c r="Q36" s="1" t="s">
        <v>26</v>
      </c>
      <c r="R36" s="1"/>
    </row>
    <row r="37" spans="1:18" x14ac:dyDescent="0.45">
      <c r="A37" s="1"/>
      <c r="B37" s="1"/>
      <c r="C37" s="1"/>
      <c r="D37" s="1"/>
      <c r="E37" s="1"/>
      <c r="F37" s="1"/>
      <c r="G37" s="1"/>
      <c r="H37" s="1"/>
      <c r="I37" s="16">
        <f>B13*(A13-$D$21)^3</f>
        <v>-27.834908093278454</v>
      </c>
      <c r="J37" s="16"/>
      <c r="K37" s="1"/>
      <c r="L37" s="1">
        <f>SUM(I37:J40)/SUM(B13:B16)</f>
        <v>0.43933058984910889</v>
      </c>
      <c r="M37" s="1"/>
      <c r="N37" s="16">
        <f>B13*(A13-$D$21)^4</f>
        <v>35.876103764669999</v>
      </c>
      <c r="O37" s="16"/>
      <c r="P37" s="1"/>
      <c r="Q37" s="1">
        <f>SUM(N37:O40)/SUM(B13:B16)</f>
        <v>2.5595493369913127</v>
      </c>
      <c r="R37" s="1"/>
    </row>
    <row r="38" spans="1:18" x14ac:dyDescent="0.45">
      <c r="A38" s="1"/>
      <c r="B38" s="1"/>
      <c r="C38" s="1"/>
      <c r="D38" s="1"/>
      <c r="E38" s="1"/>
      <c r="F38" s="1"/>
      <c r="G38" s="1"/>
      <c r="H38" s="1"/>
      <c r="I38" s="16">
        <f t="shared" ref="I38:I40" si="2">B14*(A14-$D$21)^3</f>
        <v>-0.36164609053497893</v>
      </c>
      <c r="J38" s="16"/>
      <c r="K38" s="1"/>
      <c r="L38" s="1"/>
      <c r="M38" s="1"/>
      <c r="N38" s="16">
        <f t="shared" ref="N38:N40" si="3">B14*(A14-$D$21)^4</f>
        <v>0.10447553726566051</v>
      </c>
      <c r="O38" s="16"/>
      <c r="P38" s="1"/>
      <c r="Q38" s="1"/>
      <c r="R38" s="1"/>
    </row>
    <row r="39" spans="1:18" x14ac:dyDescent="0.45">
      <c r="A39" s="1"/>
      <c r="B39" s="1"/>
      <c r="C39" s="1"/>
      <c r="D39" s="1"/>
      <c r="E39" s="1"/>
      <c r="F39" s="1"/>
      <c r="G39" s="1"/>
      <c r="H39" s="1"/>
      <c r="I39" s="16">
        <f t="shared" si="2"/>
        <v>2.8767517146776425</v>
      </c>
      <c r="J39" s="16"/>
      <c r="K39" s="1"/>
      <c r="L39" s="1"/>
      <c r="M39" s="1"/>
      <c r="N39" s="16">
        <f t="shared" si="3"/>
        <v>2.0456901082152128</v>
      </c>
      <c r="O39" s="16"/>
      <c r="P39" s="1"/>
      <c r="Q39" s="1"/>
      <c r="R39" s="1"/>
    </row>
    <row r="40" spans="1:18" x14ac:dyDescent="0.45">
      <c r="A40" s="1"/>
      <c r="B40" s="1"/>
      <c r="C40" s="1"/>
      <c r="D40" s="1"/>
      <c r="E40" s="1"/>
      <c r="F40" s="1"/>
      <c r="G40" s="1"/>
      <c r="H40" s="1"/>
      <c r="I40" s="16">
        <f t="shared" si="2"/>
        <v>45.089679012345691</v>
      </c>
      <c r="J40" s="16"/>
      <c r="K40" s="1"/>
      <c r="L40" s="1"/>
      <c r="M40" s="1"/>
      <c r="N40" s="16">
        <f t="shared" si="3"/>
        <v>77.153450754458206</v>
      </c>
      <c r="O40" s="16"/>
      <c r="P40" s="1"/>
      <c r="Q40" s="1"/>
      <c r="R40" s="1"/>
    </row>
    <row r="41" spans="1:18" x14ac:dyDescent="0.45">
      <c r="A41" s="1"/>
      <c r="B41" s="1"/>
      <c r="C41" s="1"/>
      <c r="D41" s="1"/>
      <c r="E41" s="1"/>
      <c r="F41" s="1"/>
      <c r="G41" s="1"/>
      <c r="H41" s="1"/>
      <c r="I41" s="8"/>
      <c r="J41" s="8"/>
      <c r="K41" s="1"/>
      <c r="L41" s="1"/>
      <c r="M41" s="1"/>
      <c r="N41" s="8"/>
      <c r="O41" s="8"/>
      <c r="P41" s="1"/>
      <c r="Q41" s="1"/>
      <c r="R41" s="1"/>
    </row>
    <row r="42" spans="1:18" x14ac:dyDescent="0.45">
      <c r="A42" s="1"/>
      <c r="B42" s="1"/>
      <c r="C42" s="1"/>
      <c r="D42" s="1"/>
      <c r="E42" s="1" t="s">
        <v>35</v>
      </c>
      <c r="F42" s="1"/>
      <c r="G42" s="1"/>
      <c r="H42" s="1"/>
      <c r="I42" s="8"/>
      <c r="J42" s="8"/>
      <c r="K42" s="1"/>
      <c r="L42" s="1"/>
      <c r="M42" s="1"/>
      <c r="N42" s="8"/>
      <c r="O42" s="8"/>
      <c r="P42" s="1"/>
      <c r="Q42" s="1"/>
      <c r="R42" s="1"/>
    </row>
    <row r="43" spans="1:18" x14ac:dyDescent="0.45">
      <c r="A43" s="1"/>
      <c r="B43" s="1"/>
      <c r="C43" s="1"/>
      <c r="D43" s="1"/>
      <c r="E43" s="1"/>
      <c r="F43" s="1"/>
      <c r="G43" s="1"/>
      <c r="H43" s="1"/>
      <c r="I43" s="8"/>
      <c r="J43" s="8"/>
      <c r="K43" s="1"/>
      <c r="L43" s="1"/>
      <c r="M43" s="1"/>
      <c r="N43" s="8"/>
      <c r="O43" s="8"/>
      <c r="P43" s="1"/>
      <c r="Q43" s="1"/>
      <c r="R43" s="1"/>
    </row>
    <row r="44" spans="1:18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26">
    <mergeCell ref="I40:J40"/>
    <mergeCell ref="N40:O40"/>
    <mergeCell ref="N32:Q32"/>
    <mergeCell ref="I36:J36"/>
    <mergeCell ref="N36:O36"/>
    <mergeCell ref="I37:J37"/>
    <mergeCell ref="N37:O37"/>
    <mergeCell ref="I38:J38"/>
    <mergeCell ref="N38:O38"/>
    <mergeCell ref="I39:J39"/>
    <mergeCell ref="N39:O39"/>
    <mergeCell ref="A32:C32"/>
    <mergeCell ref="E32:G32"/>
    <mergeCell ref="I32:L32"/>
    <mergeCell ref="A1:P2"/>
    <mergeCell ref="K21:L21"/>
    <mergeCell ref="G23:H23"/>
    <mergeCell ref="G24:H24"/>
    <mergeCell ref="G25:H25"/>
    <mergeCell ref="G19:M19"/>
    <mergeCell ref="A19:E19"/>
    <mergeCell ref="G26:H26"/>
    <mergeCell ref="G27:H27"/>
    <mergeCell ref="G28:H28"/>
    <mergeCell ref="G29:H29"/>
    <mergeCell ref="G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28FD-8BE0-4B77-859E-1E04BD3B58AE}">
  <dimension ref="A1:Q49"/>
  <sheetViews>
    <sheetView topLeftCell="A13" workbookViewId="0">
      <selection activeCell="L51" sqref="L51"/>
    </sheetView>
  </sheetViews>
  <sheetFormatPr defaultRowHeight="14.25" x14ac:dyDescent="0.45"/>
  <cols>
    <col min="1" max="1" width="13.06640625" customWidth="1"/>
    <col min="9" max="9" width="11.265625" customWidth="1"/>
  </cols>
  <sheetData>
    <row r="1" spans="1:12" x14ac:dyDescent="0.45">
      <c r="A1" s="22" t="s">
        <v>30</v>
      </c>
      <c r="B1" s="22"/>
      <c r="C1" s="22"/>
      <c r="D1" s="22"/>
      <c r="E1" s="22"/>
      <c r="F1" s="22"/>
      <c r="G1" s="22"/>
      <c r="H1" s="22"/>
      <c r="I1" s="22"/>
    </row>
    <row r="2" spans="1:12" x14ac:dyDescent="0.45">
      <c r="A2" s="22"/>
      <c r="B2" s="22"/>
      <c r="C2" s="22"/>
      <c r="D2" s="22"/>
      <c r="E2" s="22"/>
      <c r="F2" s="22"/>
      <c r="G2" s="22"/>
      <c r="H2" s="22"/>
      <c r="I2" s="22"/>
    </row>
    <row r="3" spans="1:12" x14ac:dyDescent="0.45">
      <c r="A3" s="22"/>
      <c r="B3" s="22"/>
      <c r="C3" s="22"/>
      <c r="D3" s="22"/>
      <c r="E3" s="22"/>
      <c r="F3" s="22"/>
      <c r="G3" s="22"/>
      <c r="H3" s="22"/>
      <c r="I3" s="22"/>
    </row>
    <row r="4" spans="1:12" x14ac:dyDescent="0.45">
      <c r="A4" s="1">
        <v>51</v>
      </c>
      <c r="B4" s="1">
        <v>52</v>
      </c>
      <c r="C4" s="1">
        <v>32</v>
      </c>
      <c r="D4" s="1">
        <v>30</v>
      </c>
      <c r="E4" s="1">
        <v>42</v>
      </c>
      <c r="F4" s="1">
        <v>34</v>
      </c>
      <c r="G4" s="1">
        <v>34</v>
      </c>
      <c r="H4" s="1">
        <v>26</v>
      </c>
      <c r="I4" s="1">
        <v>53</v>
      </c>
    </row>
    <row r="5" spans="1:12" x14ac:dyDescent="0.45">
      <c r="A5" s="1">
        <v>28</v>
      </c>
      <c r="B5" s="1">
        <v>20</v>
      </c>
      <c r="C5" s="1">
        <v>36</v>
      </c>
      <c r="D5" s="1">
        <v>53</v>
      </c>
      <c r="E5" s="1">
        <v>26</v>
      </c>
      <c r="F5" s="1">
        <v>37</v>
      </c>
      <c r="G5" s="1">
        <v>49</v>
      </c>
      <c r="H5" s="1">
        <v>30</v>
      </c>
      <c r="I5" s="1">
        <v>29</v>
      </c>
    </row>
    <row r="6" spans="1:12" x14ac:dyDescent="0.45">
      <c r="A6" s="1">
        <v>36</v>
      </c>
      <c r="B6" s="1">
        <v>29</v>
      </c>
      <c r="C6" s="1">
        <v>47</v>
      </c>
      <c r="D6" s="1">
        <v>38</v>
      </c>
      <c r="E6" s="1">
        <v>43</v>
      </c>
      <c r="F6" s="1">
        <v>33</v>
      </c>
      <c r="G6" s="1">
        <v>55</v>
      </c>
      <c r="H6" s="1">
        <v>39</v>
      </c>
      <c r="I6" s="1">
        <v>46</v>
      </c>
    </row>
    <row r="7" spans="1:12" x14ac:dyDescent="0.45">
      <c r="A7" s="1">
        <v>30</v>
      </c>
      <c r="B7" s="1">
        <v>21</v>
      </c>
      <c r="C7" s="1">
        <v>49</v>
      </c>
      <c r="D7" s="1">
        <v>46</v>
      </c>
      <c r="E7" s="1">
        <v>36</v>
      </c>
      <c r="F7" s="1">
        <v>54</v>
      </c>
      <c r="G7" s="1">
        <v>41</v>
      </c>
      <c r="H7" s="1">
        <v>42</v>
      </c>
      <c r="I7" s="1">
        <v>39</v>
      </c>
    </row>
    <row r="8" spans="1:12" x14ac:dyDescent="0.45">
      <c r="A8" s="1">
        <v>52</v>
      </c>
      <c r="B8" s="1">
        <v>26</v>
      </c>
      <c r="C8" s="1">
        <v>44</v>
      </c>
      <c r="D8" s="1">
        <v>41</v>
      </c>
      <c r="E8" s="1">
        <v>29</v>
      </c>
      <c r="F8" s="1">
        <v>53</v>
      </c>
      <c r="G8" s="1">
        <v>51</v>
      </c>
      <c r="H8" s="1">
        <v>42</v>
      </c>
      <c r="I8" s="1">
        <v>52</v>
      </c>
    </row>
    <row r="9" spans="1:12" x14ac:dyDescent="0.45">
      <c r="A9" s="1">
        <v>24</v>
      </c>
      <c r="B9" s="1">
        <v>30</v>
      </c>
      <c r="C9" s="1">
        <v>31</v>
      </c>
      <c r="D9" s="1">
        <v>25</v>
      </c>
      <c r="E9" s="1">
        <v>29</v>
      </c>
      <c r="F9" s="1">
        <v>53</v>
      </c>
      <c r="G9" s="1">
        <v>33</v>
      </c>
      <c r="H9" s="1">
        <v>50</v>
      </c>
      <c r="I9" s="1">
        <v>40</v>
      </c>
    </row>
    <row r="10" spans="1:12" x14ac:dyDescent="0.45">
      <c r="A10" s="1">
        <v>24</v>
      </c>
      <c r="B10" s="1">
        <v>35</v>
      </c>
      <c r="C10" s="1">
        <v>42</v>
      </c>
      <c r="D10" s="1">
        <v>29</v>
      </c>
      <c r="E10" s="1">
        <v>22</v>
      </c>
      <c r="F10" s="1">
        <v>23</v>
      </c>
      <c r="G10" s="1">
        <v>30</v>
      </c>
      <c r="H10" s="1">
        <v>51</v>
      </c>
      <c r="I10" s="1">
        <v>39</v>
      </c>
    </row>
    <row r="11" spans="1:12" x14ac:dyDescent="0.45">
      <c r="A11" s="1"/>
      <c r="B11" s="1"/>
      <c r="C11" s="1"/>
      <c r="D11" s="1"/>
      <c r="E11" s="1"/>
      <c r="F11" s="1"/>
      <c r="G11" s="1"/>
      <c r="H11" s="1"/>
      <c r="I11" s="1"/>
    </row>
    <row r="12" spans="1:12" x14ac:dyDescent="0.45">
      <c r="A12" s="1" t="s">
        <v>0</v>
      </c>
      <c r="B12" s="1">
        <f>MAX(A4:I10)</f>
        <v>55</v>
      </c>
      <c r="C12" s="1"/>
      <c r="D12" s="23" t="s">
        <v>5</v>
      </c>
      <c r="E12" s="23"/>
      <c r="F12" s="12"/>
      <c r="G12" s="9" t="s">
        <v>6</v>
      </c>
    </row>
    <row r="13" spans="1:12" x14ac:dyDescent="0.45">
      <c r="A13" s="1" t="s">
        <v>1</v>
      </c>
      <c r="B13" s="1">
        <f>MIN(A4:I10)</f>
        <v>20</v>
      </c>
      <c r="C13" s="1"/>
      <c r="D13" s="9">
        <v>20</v>
      </c>
      <c r="E13" s="9">
        <f>D13+$B$20</f>
        <v>25</v>
      </c>
      <c r="F13" s="12">
        <f>E13-0.01</f>
        <v>24.99</v>
      </c>
      <c r="G13" s="9">
        <f t="array" ref="G13:G19">FREQUENCY(A4:I10,F13:F19)</f>
        <v>6</v>
      </c>
      <c r="J13">
        <v>20</v>
      </c>
      <c r="K13">
        <v>25</v>
      </c>
      <c r="L13">
        <v>6</v>
      </c>
    </row>
    <row r="14" spans="1:12" x14ac:dyDescent="0.45">
      <c r="A14" s="1"/>
      <c r="B14" s="1"/>
      <c r="C14" s="1"/>
      <c r="D14" s="9">
        <f>E13</f>
        <v>25</v>
      </c>
      <c r="E14" s="9">
        <f>D14+$B$20</f>
        <v>30</v>
      </c>
      <c r="F14" s="12">
        <f t="shared" ref="F14:F18" si="0">E14-0.01</f>
        <v>29.99</v>
      </c>
      <c r="G14" s="9">
        <v>10</v>
      </c>
      <c r="J14">
        <v>25</v>
      </c>
      <c r="K14">
        <v>30</v>
      </c>
      <c r="L14">
        <v>10</v>
      </c>
    </row>
    <row r="15" spans="1:12" x14ac:dyDescent="0.45">
      <c r="A15" s="1" t="s">
        <v>2</v>
      </c>
      <c r="B15" s="1">
        <v>63</v>
      </c>
      <c r="C15" s="1"/>
      <c r="D15" s="9">
        <f t="shared" ref="D15:D19" si="1">E14</f>
        <v>30</v>
      </c>
      <c r="E15" s="9">
        <f t="shared" ref="E15:E19" si="2">D15+$B$20</f>
        <v>35</v>
      </c>
      <c r="F15" s="12">
        <f t="shared" si="0"/>
        <v>34.99</v>
      </c>
      <c r="G15" s="9">
        <v>11</v>
      </c>
      <c r="J15">
        <v>30</v>
      </c>
      <c r="K15">
        <v>35</v>
      </c>
      <c r="L15">
        <v>11</v>
      </c>
    </row>
    <row r="16" spans="1:12" x14ac:dyDescent="0.45">
      <c r="A16" s="1"/>
      <c r="B16" s="1"/>
      <c r="C16" s="1"/>
      <c r="D16" s="9">
        <f t="shared" si="1"/>
        <v>35</v>
      </c>
      <c r="E16" s="9">
        <f t="shared" si="2"/>
        <v>40</v>
      </c>
      <c r="F16" s="12">
        <f t="shared" si="0"/>
        <v>39.99</v>
      </c>
      <c r="G16" s="9">
        <v>9</v>
      </c>
      <c r="J16">
        <v>35</v>
      </c>
      <c r="K16">
        <v>40</v>
      </c>
      <c r="L16">
        <v>9</v>
      </c>
    </row>
    <row r="17" spans="1:17" x14ac:dyDescent="0.45">
      <c r="A17" s="1" t="s">
        <v>3</v>
      </c>
      <c r="B17" s="1">
        <f>1+1.4*LN(B15)</f>
        <v>6.8003886169481449</v>
      </c>
      <c r="C17" s="1"/>
      <c r="D17" s="9">
        <f t="shared" si="1"/>
        <v>40</v>
      </c>
      <c r="E17" s="9">
        <f t="shared" si="2"/>
        <v>45</v>
      </c>
      <c r="F17" s="12">
        <f t="shared" si="0"/>
        <v>44.99</v>
      </c>
      <c r="G17" s="9">
        <v>9</v>
      </c>
      <c r="J17">
        <v>40</v>
      </c>
      <c r="K17">
        <v>45</v>
      </c>
      <c r="L17">
        <v>9</v>
      </c>
    </row>
    <row r="18" spans="1:17" x14ac:dyDescent="0.45">
      <c r="A18" s="1"/>
      <c r="B18" s="1">
        <v>7</v>
      </c>
      <c r="C18" s="1"/>
      <c r="D18" s="9">
        <f t="shared" si="1"/>
        <v>45</v>
      </c>
      <c r="E18" s="9">
        <f t="shared" si="2"/>
        <v>50</v>
      </c>
      <c r="F18" s="12">
        <f t="shared" si="0"/>
        <v>49.99</v>
      </c>
      <c r="G18" s="9">
        <v>5</v>
      </c>
      <c r="J18">
        <v>45</v>
      </c>
      <c r="K18">
        <v>50</v>
      </c>
      <c r="L18">
        <v>5</v>
      </c>
    </row>
    <row r="19" spans="1:17" x14ac:dyDescent="0.45">
      <c r="A19" s="1"/>
      <c r="B19" s="1"/>
      <c r="C19" s="1"/>
      <c r="D19" s="9">
        <f t="shared" si="1"/>
        <v>50</v>
      </c>
      <c r="E19" s="9">
        <f t="shared" si="2"/>
        <v>55</v>
      </c>
      <c r="F19" s="12">
        <f t="shared" ref="F19" si="3">E19+0.01</f>
        <v>55.01</v>
      </c>
      <c r="G19" s="9">
        <v>13</v>
      </c>
      <c r="J19">
        <v>50</v>
      </c>
      <c r="K19">
        <v>55</v>
      </c>
      <c r="L19">
        <v>13</v>
      </c>
    </row>
    <row r="20" spans="1:17" x14ac:dyDescent="0.45">
      <c r="A20" s="1" t="s">
        <v>4</v>
      </c>
      <c r="B20" s="1">
        <f>(B12-B13)/B18</f>
        <v>5</v>
      </c>
      <c r="C20" s="1"/>
      <c r="D20" s="9"/>
      <c r="E20" s="9"/>
      <c r="F20" s="12"/>
      <c r="G20" s="9">
        <f>SUM(G13:G19)</f>
        <v>63</v>
      </c>
    </row>
    <row r="21" spans="1:17" x14ac:dyDescent="0.45">
      <c r="A21" s="1"/>
      <c r="B21" s="1"/>
      <c r="C21" s="1"/>
    </row>
    <row r="22" spans="1:17" x14ac:dyDescent="0.45">
      <c r="A22" s="1"/>
      <c r="B22" s="1"/>
      <c r="C22" s="1"/>
    </row>
    <row r="23" spans="1:17" x14ac:dyDescent="0.45">
      <c r="A23" s="17" t="s">
        <v>7</v>
      </c>
      <c r="B23" s="17"/>
      <c r="C23" s="17"/>
      <c r="D23" s="17"/>
      <c r="E23" s="17"/>
      <c r="F23" s="17"/>
      <c r="G23" s="17"/>
      <c r="H23" s="1"/>
      <c r="I23" s="17" t="s">
        <v>10</v>
      </c>
      <c r="J23" s="17"/>
      <c r="K23" s="17"/>
      <c r="L23" s="17"/>
      <c r="M23" s="17"/>
      <c r="N23" s="17"/>
      <c r="O23" s="17"/>
      <c r="P23" s="1"/>
      <c r="Q23" s="1"/>
    </row>
    <row r="24" spans="1:17" ht="14.65" thickBot="1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thickTop="1" thickBot="1" x14ac:dyDescent="0.5">
      <c r="A25" s="1" t="s">
        <v>8</v>
      </c>
      <c r="B25" s="1"/>
      <c r="C25" s="1" t="s">
        <v>9</v>
      </c>
      <c r="D25" s="1"/>
      <c r="E25" s="1"/>
      <c r="F25" s="4" t="s">
        <v>12</v>
      </c>
      <c r="G25" s="4">
        <f>SUM(C26:C32)/SUM(G13:G19)</f>
        <v>38.214285714285715</v>
      </c>
      <c r="H25" s="1"/>
      <c r="I25" s="4" t="s">
        <v>13</v>
      </c>
      <c r="J25" s="4">
        <f>SUM(I28:J34)/SUM(G13:G19)</f>
        <v>99.092970521541957</v>
      </c>
      <c r="K25" s="1"/>
      <c r="L25" s="1"/>
      <c r="M25" s="18" t="s">
        <v>14</v>
      </c>
      <c r="N25" s="18"/>
      <c r="O25" s="4">
        <f>SQRT(J25)</f>
        <v>9.9545452192223198</v>
      </c>
      <c r="P25" s="1"/>
      <c r="Q25" s="1"/>
    </row>
    <row r="26" spans="1:17" ht="14.65" thickTop="1" x14ac:dyDescent="0.45">
      <c r="A26" s="2">
        <f>(E13+D13)/2</f>
        <v>22.5</v>
      </c>
      <c r="B26" s="1"/>
      <c r="C26" s="1">
        <f>A26*G13</f>
        <v>135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45">
      <c r="A27" s="2">
        <f t="shared" ref="A27:A31" si="4">(E14+D14)/2</f>
        <v>27.5</v>
      </c>
      <c r="B27" s="1"/>
      <c r="C27" s="1">
        <f t="shared" ref="C27:C32" si="5">A27*G14</f>
        <v>275</v>
      </c>
      <c r="D27" s="1"/>
      <c r="E27" s="1"/>
      <c r="F27" s="1"/>
      <c r="G27" s="1"/>
      <c r="H27" s="1"/>
      <c r="I27" s="16" t="s">
        <v>11</v>
      </c>
      <c r="J27" s="16"/>
      <c r="K27" s="1"/>
      <c r="L27" s="1"/>
      <c r="M27" s="1"/>
      <c r="N27" s="1"/>
      <c r="O27" s="1"/>
      <c r="P27" s="1"/>
      <c r="Q27" s="1"/>
    </row>
    <row r="28" spans="1:17" x14ac:dyDescent="0.45">
      <c r="A28" s="2">
        <f t="shared" si="4"/>
        <v>32.5</v>
      </c>
      <c r="B28" s="1"/>
      <c r="C28" s="1">
        <f t="shared" si="5"/>
        <v>357.5</v>
      </c>
      <c r="D28" s="1"/>
      <c r="E28" s="1"/>
      <c r="F28" s="1"/>
      <c r="G28" s="1"/>
      <c r="H28" s="1"/>
      <c r="I28" s="16">
        <f>G13*(A26-$G$25)^2</f>
        <v>1481.6326530612248</v>
      </c>
      <c r="J28" s="16"/>
      <c r="K28" s="1"/>
      <c r="L28" s="1"/>
      <c r="M28" s="1"/>
      <c r="N28" s="1"/>
      <c r="O28" s="1"/>
      <c r="P28" s="1"/>
      <c r="Q28" s="1"/>
    </row>
    <row r="29" spans="1:17" x14ac:dyDescent="0.45">
      <c r="A29" s="2">
        <f t="shared" si="4"/>
        <v>37.5</v>
      </c>
      <c r="B29" s="1"/>
      <c r="C29" s="1">
        <f t="shared" si="5"/>
        <v>337.5</v>
      </c>
      <c r="D29" s="1"/>
      <c r="E29" s="1"/>
      <c r="F29" s="1"/>
      <c r="G29" s="1"/>
      <c r="H29" s="1"/>
      <c r="I29" s="16">
        <f t="shared" ref="I29:I34" si="6">G14*(A27-$G$25)^2</f>
        <v>1147.9591836734696</v>
      </c>
      <c r="J29" s="16"/>
      <c r="K29" s="1"/>
      <c r="L29" s="1"/>
      <c r="M29" s="1"/>
      <c r="N29" s="1"/>
      <c r="O29" s="1"/>
      <c r="P29" s="1"/>
      <c r="Q29" s="1"/>
    </row>
    <row r="30" spans="1:17" x14ac:dyDescent="0.45">
      <c r="A30" s="2">
        <f t="shared" si="4"/>
        <v>42.5</v>
      </c>
      <c r="B30" s="1"/>
      <c r="C30" s="1">
        <f t="shared" si="5"/>
        <v>382.5</v>
      </c>
      <c r="D30" s="1"/>
      <c r="E30" s="1"/>
      <c r="F30" s="1"/>
      <c r="G30" s="1"/>
      <c r="H30" s="1"/>
      <c r="I30" s="16">
        <f t="shared" si="6"/>
        <v>359.18367346938794</v>
      </c>
      <c r="J30" s="16"/>
      <c r="K30" s="1"/>
      <c r="L30" s="1"/>
      <c r="M30" s="1"/>
      <c r="N30" s="1"/>
      <c r="O30" s="1"/>
      <c r="P30" s="1"/>
      <c r="Q30" s="1"/>
    </row>
    <row r="31" spans="1:17" x14ac:dyDescent="0.45">
      <c r="A31" s="2">
        <f t="shared" si="4"/>
        <v>47.5</v>
      </c>
      <c r="B31" s="1"/>
      <c r="C31" s="1">
        <f t="shared" si="5"/>
        <v>237.5</v>
      </c>
      <c r="D31" s="1"/>
      <c r="E31" s="1"/>
      <c r="F31" s="1"/>
      <c r="G31" s="1"/>
      <c r="H31" s="1"/>
      <c r="I31" s="16">
        <f t="shared" si="6"/>
        <v>4.5918367346938904</v>
      </c>
      <c r="J31" s="16"/>
      <c r="K31" s="1"/>
      <c r="L31" s="1"/>
      <c r="M31" s="1"/>
      <c r="N31" s="1"/>
      <c r="O31" s="1"/>
      <c r="P31" s="1"/>
      <c r="Q31" s="1"/>
    </row>
    <row r="32" spans="1:17" x14ac:dyDescent="0.45">
      <c r="A32" s="2">
        <f>(E19+D19)/2</f>
        <v>52.5</v>
      </c>
      <c r="B32" s="1"/>
      <c r="C32" s="1">
        <f t="shared" si="5"/>
        <v>682.5</v>
      </c>
      <c r="D32" s="1"/>
      <c r="E32" s="1"/>
      <c r="F32" s="1"/>
      <c r="G32" s="1"/>
      <c r="H32" s="1"/>
      <c r="I32" s="16">
        <f t="shared" si="6"/>
        <v>165.30612244897952</v>
      </c>
      <c r="J32" s="16"/>
      <c r="K32" s="1"/>
      <c r="L32" s="1"/>
      <c r="M32" s="1"/>
      <c r="N32" s="1"/>
      <c r="O32" s="1"/>
      <c r="P32" s="1"/>
      <c r="Q32" s="1"/>
    </row>
    <row r="33" spans="1:17" x14ac:dyDescent="0.45">
      <c r="H33" s="2"/>
      <c r="I33" s="16">
        <f t="shared" si="6"/>
        <v>431.1224489795917</v>
      </c>
      <c r="J33" s="16"/>
      <c r="K33" s="1"/>
      <c r="L33" s="1"/>
      <c r="M33" s="1"/>
      <c r="N33" s="1"/>
      <c r="O33" s="1"/>
      <c r="P33" s="1"/>
      <c r="Q33" s="1"/>
    </row>
    <row r="34" spans="1:17" x14ac:dyDescent="0.45">
      <c r="H34" s="2"/>
      <c r="I34" s="16">
        <f t="shared" si="6"/>
        <v>2653.0612244897957</v>
      </c>
      <c r="J34" s="16"/>
      <c r="K34" s="1"/>
      <c r="L34" s="1"/>
      <c r="M34" s="1"/>
      <c r="N34" s="1"/>
      <c r="O34" s="1"/>
      <c r="P34" s="1"/>
      <c r="Q34" s="1"/>
    </row>
    <row r="35" spans="1:17" x14ac:dyDescent="0.4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45">
      <c r="A36" s="19" t="s">
        <v>15</v>
      </c>
      <c r="B36" s="19"/>
      <c r="C36" s="19"/>
      <c r="D36" s="1"/>
      <c r="E36" s="19" t="s">
        <v>19</v>
      </c>
      <c r="F36" s="19"/>
      <c r="G36" s="19"/>
      <c r="H36" s="1"/>
      <c r="I36" s="17" t="s">
        <v>17</v>
      </c>
      <c r="J36" s="17"/>
      <c r="K36" s="17"/>
      <c r="L36" s="17"/>
      <c r="M36" s="1"/>
      <c r="N36" s="17" t="s">
        <v>25</v>
      </c>
      <c r="O36" s="17"/>
      <c r="P36" s="17"/>
      <c r="Q36" s="17"/>
    </row>
    <row r="37" spans="1:17" ht="14.65" thickBot="1" x14ac:dyDescent="0.5">
      <c r="A37" s="2"/>
      <c r="B37" s="1"/>
      <c r="C37" s="1"/>
      <c r="D37" s="1"/>
      <c r="E37" s="12"/>
      <c r="F37" s="13"/>
      <c r="G37" s="12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thickTop="1" thickBot="1" x14ac:dyDescent="0.5">
      <c r="A38" s="5" t="s">
        <v>16</v>
      </c>
      <c r="B38" s="6">
        <f>O25/G25</f>
        <v>0.260492772091799</v>
      </c>
      <c r="C38" s="1"/>
      <c r="D38" s="1"/>
      <c r="E38" s="4">
        <f>G25-O25</f>
        <v>28.259740495063397</v>
      </c>
      <c r="F38" s="7" t="s">
        <v>18</v>
      </c>
      <c r="G38" s="4">
        <f>G25+O25</f>
        <v>48.168830933508033</v>
      </c>
      <c r="H38" s="1"/>
      <c r="I38" s="4" t="s">
        <v>21</v>
      </c>
      <c r="J38" s="4">
        <f>L41/O25^3</f>
        <v>8.0046753673466517E-2</v>
      </c>
      <c r="K38" s="1"/>
      <c r="L38" s="1"/>
      <c r="M38" s="1"/>
      <c r="N38" s="4" t="s">
        <v>23</v>
      </c>
      <c r="O38" s="4">
        <f>Q41/O25^4 - 3</f>
        <v>-1.2363498787761358</v>
      </c>
      <c r="P38" s="1"/>
      <c r="Q38" s="1"/>
    </row>
    <row r="39" spans="1:17" ht="14.65" thickTop="1" x14ac:dyDescent="0.45">
      <c r="A39" s="2"/>
      <c r="B39" s="1" t="s">
        <v>38</v>
      </c>
      <c r="C39" s="1"/>
      <c r="D39" s="1"/>
      <c r="E39" s="1" t="s">
        <v>36</v>
      </c>
      <c r="F39" s="1"/>
      <c r="G39" s="1" t="s">
        <v>37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45">
      <c r="A40" s="1"/>
      <c r="B40" s="1"/>
      <c r="C40" s="1"/>
      <c r="D40" s="1"/>
      <c r="E40" s="1"/>
      <c r="F40" s="1"/>
      <c r="G40" s="1"/>
      <c r="H40" s="1"/>
      <c r="I40" s="16" t="s">
        <v>20</v>
      </c>
      <c r="J40" s="16"/>
      <c r="K40" s="1"/>
      <c r="L40" s="1" t="s">
        <v>22</v>
      </c>
      <c r="M40" s="1"/>
      <c r="N40" s="16" t="s">
        <v>24</v>
      </c>
      <c r="O40" s="16"/>
      <c r="P40" s="1"/>
      <c r="Q40" s="1" t="s">
        <v>26</v>
      </c>
    </row>
    <row r="41" spans="1:17" x14ac:dyDescent="0.45">
      <c r="A41" s="1"/>
      <c r="B41" s="1"/>
      <c r="C41" s="1"/>
      <c r="D41" s="1"/>
      <c r="E41" s="1"/>
      <c r="F41" s="1"/>
      <c r="G41" s="1"/>
      <c r="H41" s="1"/>
      <c r="I41" s="16">
        <f>G13*(A26-$G$25)^3</f>
        <v>-23282.798833819248</v>
      </c>
      <c r="J41" s="16"/>
      <c r="K41" s="1"/>
      <c r="L41" s="1">
        <f>SUM(I41:J47)/SUM(G13:G19)</f>
        <v>78.960155490767477</v>
      </c>
      <c r="M41" s="1"/>
      <c r="N41" s="16">
        <f>G13*(A26-$G$25)^4</f>
        <v>365872.55310287396</v>
      </c>
      <c r="O41" s="16"/>
      <c r="P41" s="1"/>
      <c r="Q41" s="1">
        <f>SUM(N41:O47)/SUM(G13:G19)</f>
        <v>17318.015641630805</v>
      </c>
    </row>
    <row r="42" spans="1:17" x14ac:dyDescent="0.45">
      <c r="A42" s="1"/>
      <c r="B42" s="1"/>
      <c r="C42" s="1"/>
      <c r="D42" s="1"/>
      <c r="E42" s="1"/>
      <c r="F42" s="1"/>
      <c r="G42" s="1"/>
      <c r="H42" s="1"/>
      <c r="I42" s="16">
        <f t="shared" ref="I42:I47" si="7">G14*(A27-$G$25)^3</f>
        <v>-12299.562682215746</v>
      </c>
      <c r="J42" s="16"/>
      <c r="K42" s="1"/>
      <c r="L42" s="1"/>
      <c r="M42" s="1"/>
      <c r="N42" s="16">
        <f t="shared" ref="N42:N47" si="8">G14*(A27-$G$25)^4</f>
        <v>131781.02873802587</v>
      </c>
      <c r="O42" s="16"/>
      <c r="P42" s="1"/>
      <c r="Q42" s="1"/>
    </row>
    <row r="43" spans="1:17" x14ac:dyDescent="0.45">
      <c r="A43" s="1"/>
      <c r="B43" s="1"/>
      <c r="C43" s="1"/>
      <c r="D43" s="1"/>
      <c r="E43" s="1"/>
      <c r="F43" s="1"/>
      <c r="G43" s="1"/>
      <c r="H43" s="1"/>
      <c r="I43" s="16">
        <f t="shared" si="7"/>
        <v>-2052.4781341107887</v>
      </c>
      <c r="J43" s="16"/>
      <c r="K43" s="1"/>
      <c r="L43" s="1"/>
      <c r="M43" s="1"/>
      <c r="N43" s="16">
        <f t="shared" si="8"/>
        <v>11728.44648063308</v>
      </c>
      <c r="O43" s="16"/>
      <c r="P43" s="1"/>
      <c r="Q43" s="1"/>
    </row>
    <row r="44" spans="1:17" x14ac:dyDescent="0.45">
      <c r="A44" s="1"/>
      <c r="B44" s="1"/>
      <c r="C44" s="1"/>
      <c r="D44" s="1"/>
      <c r="E44" s="1"/>
      <c r="F44" s="1"/>
      <c r="G44" s="1"/>
      <c r="H44" s="1"/>
      <c r="I44" s="16">
        <f t="shared" si="7"/>
        <v>-3.2798833819242121</v>
      </c>
      <c r="J44" s="16"/>
      <c r="K44" s="1"/>
      <c r="L44" s="1"/>
      <c r="M44" s="1"/>
      <c r="N44" s="16">
        <f t="shared" si="8"/>
        <v>2.3427738442315835</v>
      </c>
      <c r="O44" s="16"/>
      <c r="P44" s="1"/>
      <c r="Q44" s="1"/>
    </row>
    <row r="45" spans="1:17" x14ac:dyDescent="0.45">
      <c r="A45" s="1"/>
      <c r="B45" s="1"/>
      <c r="C45" s="1"/>
      <c r="D45" s="1"/>
      <c r="E45" s="1"/>
      <c r="F45" s="1"/>
      <c r="G45" s="1"/>
      <c r="H45" s="1"/>
      <c r="I45" s="16">
        <f t="shared" si="7"/>
        <v>708.45481049562636</v>
      </c>
      <c r="J45" s="16"/>
      <c r="K45" s="1"/>
      <c r="L45" s="1"/>
      <c r="M45" s="1"/>
      <c r="N45" s="16">
        <f t="shared" si="8"/>
        <v>3036.2349021241116</v>
      </c>
      <c r="O45" s="16"/>
      <c r="P45" s="1"/>
      <c r="Q45" s="1"/>
    </row>
    <row r="46" spans="1:17" x14ac:dyDescent="0.45">
      <c r="A46" s="1"/>
      <c r="B46" s="1"/>
      <c r="C46" s="1"/>
      <c r="D46" s="1"/>
      <c r="E46" s="1"/>
      <c r="F46" s="1"/>
      <c r="G46" s="1"/>
      <c r="H46" s="1"/>
      <c r="I46" s="16">
        <f t="shared" si="7"/>
        <v>4003.2798833819224</v>
      </c>
      <c r="J46" s="16"/>
      <c r="K46" s="1"/>
      <c r="L46" s="1"/>
      <c r="M46" s="1"/>
      <c r="N46" s="16">
        <f t="shared" si="8"/>
        <v>37173.313202832134</v>
      </c>
      <c r="O46" s="16"/>
      <c r="P46" s="1"/>
      <c r="Q46" s="1"/>
    </row>
    <row r="47" spans="1:17" x14ac:dyDescent="0.45">
      <c r="A47" s="1"/>
      <c r="B47" s="1"/>
      <c r="C47" s="1"/>
      <c r="D47" s="1"/>
      <c r="E47" s="1"/>
      <c r="F47" s="1"/>
      <c r="G47" s="1"/>
      <c r="H47" s="1"/>
      <c r="I47" s="16">
        <f t="shared" si="7"/>
        <v>37900.874635568507</v>
      </c>
      <c r="J47" s="16"/>
      <c r="K47" s="1"/>
      <c r="L47" s="1"/>
      <c r="M47" s="1"/>
      <c r="N47" s="16">
        <f t="shared" si="8"/>
        <v>541441.06622240727</v>
      </c>
      <c r="O47" s="16"/>
      <c r="P47" s="1"/>
      <c r="Q47" s="1"/>
    </row>
    <row r="48" spans="1:17" x14ac:dyDescent="0.45">
      <c r="A48" s="1"/>
      <c r="B48" s="1"/>
      <c r="C48" s="1"/>
      <c r="D48" s="1"/>
      <c r="H48" s="1"/>
      <c r="I48" s="8"/>
      <c r="J48" s="8"/>
      <c r="K48" s="1"/>
      <c r="L48" s="1"/>
      <c r="M48" s="1"/>
      <c r="N48" s="1"/>
      <c r="O48" s="1"/>
      <c r="P48" s="1"/>
      <c r="Q48" s="1"/>
    </row>
    <row r="49" spans="9:10" x14ac:dyDescent="0.45">
      <c r="I49" s="8"/>
      <c r="J49" s="8"/>
    </row>
  </sheetData>
  <mergeCells count="33">
    <mergeCell ref="I42:J42"/>
    <mergeCell ref="N42:O42"/>
    <mergeCell ref="I43:J43"/>
    <mergeCell ref="N43:O43"/>
    <mergeCell ref="I47:J47"/>
    <mergeCell ref="N47:O47"/>
    <mergeCell ref="I44:J44"/>
    <mergeCell ref="N44:O44"/>
    <mergeCell ref="I45:J45"/>
    <mergeCell ref="N45:O45"/>
    <mergeCell ref="I46:J46"/>
    <mergeCell ref="N46:O46"/>
    <mergeCell ref="A36:C36"/>
    <mergeCell ref="E36:G36"/>
    <mergeCell ref="I36:L36"/>
    <mergeCell ref="N36:Q36"/>
    <mergeCell ref="I41:J41"/>
    <mergeCell ref="N41:O41"/>
    <mergeCell ref="I40:J40"/>
    <mergeCell ref="N40:O40"/>
    <mergeCell ref="I33:J33"/>
    <mergeCell ref="I34:J34"/>
    <mergeCell ref="I27:J27"/>
    <mergeCell ref="A1:I3"/>
    <mergeCell ref="D12:E12"/>
    <mergeCell ref="A23:G23"/>
    <mergeCell ref="I23:O23"/>
    <mergeCell ref="M25:N25"/>
    <mergeCell ref="I28:J28"/>
    <mergeCell ref="I29:J29"/>
    <mergeCell ref="I30:J30"/>
    <mergeCell ref="I31:J31"/>
    <mergeCell ref="I32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Задание3.1</vt:lpstr>
      <vt:lpstr>Задание3.2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2023-12-23T20:56:04Z</dcterms:modified>
</cp:coreProperties>
</file>
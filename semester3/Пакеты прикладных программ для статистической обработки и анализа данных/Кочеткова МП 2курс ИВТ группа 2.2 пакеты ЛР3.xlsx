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75B2BB40-61CA-4F16-89F4-6C3154426F82}" xr6:coauthVersionLast="47" xr6:coauthVersionMax="47" xr10:uidLastSave="{00000000-0000-0000-0000-000000000000}"/>
  <bookViews>
    <workbookView xWindow="-98" yWindow="-98" windowWidth="19095" windowHeight="12075" firstSheet="1" activeTab="3" xr2:uid="{00000000-000D-0000-FFFF-FFFF00000000}"/>
  </bookViews>
  <sheets>
    <sheet name="Таблица1" sheetId="1" r:id="rId1"/>
    <sheet name="Сводные данные 1" sheetId="3" r:id="rId2"/>
    <sheet name="Гистограмма1" sheetId="4" r:id="rId3"/>
    <sheet name="Таблица2" sheetId="8" r:id="rId4"/>
    <sheet name="Таблица3" sheetId="2" r:id="rId5"/>
    <sheet name="Ранг корреляции" sheetId="5" r:id="rId6"/>
    <sheet name="Диаграмма1" sheetId="6" r:id="rId7"/>
    <sheet name="Диаграмма2" sheetId="7" r:id="rId8"/>
  </sheets>
  <calcPr calcId="181029"/>
</workbook>
</file>

<file path=xl/calcChain.xml><?xml version="1.0" encoding="utf-8"?>
<calcChain xmlns="http://schemas.openxmlformats.org/spreadsheetml/2006/main">
  <c r="B6" i="2" l="1"/>
  <c r="B5" i="2"/>
  <c r="B4" i="2"/>
  <c r="B3" i="2"/>
  <c r="C3" i="2" s="1"/>
  <c r="B2" i="2"/>
  <c r="C2" i="2" s="1"/>
  <c r="B6" i="5"/>
  <c r="B5" i="5"/>
  <c r="C5" i="5" s="1"/>
  <c r="F5" i="5" s="1"/>
  <c r="G5" i="5" s="1"/>
  <c r="B4" i="5"/>
  <c r="B3" i="5"/>
  <c r="B2" i="5"/>
  <c r="C4" i="2" l="1"/>
  <c r="C5" i="2"/>
  <c r="C6" i="2"/>
  <c r="C6" i="5"/>
  <c r="F6" i="5" s="1"/>
  <c r="G6" i="5" s="1"/>
  <c r="C2" i="5"/>
  <c r="C3" i="5"/>
  <c r="F3" i="5" s="1"/>
  <c r="G3" i="5" s="1"/>
  <c r="C4" i="5"/>
  <c r="F4" i="5" s="1"/>
  <c r="G4" i="5" s="1"/>
  <c r="C14" i="5" l="1"/>
  <c r="F2" i="5"/>
  <c r="G2" i="5" s="1"/>
  <c r="G7" i="5" s="1"/>
  <c r="C13" i="5" s="1"/>
</calcChain>
</file>

<file path=xl/sharedStrings.xml><?xml version="1.0" encoding="utf-8"?>
<sst xmlns="http://schemas.openxmlformats.org/spreadsheetml/2006/main" count="209" uniqueCount="55">
  <si>
    <t>ID</t>
  </si>
  <si>
    <t>1572504122</t>
  </si>
  <si>
    <t>Номера банковских счетов (кредитных карт)</t>
  </si>
  <si>
    <t>Секретные слова (ответы) на специальные секретные вопросы, используемые при идентификации вашего аккаунта</t>
  </si>
  <si>
    <t>PIN-коды</t>
  </si>
  <si>
    <t>Ваша дата рождения</t>
  </si>
  <si>
    <t>1572501901</t>
  </si>
  <si>
    <t>Ваши имя и фамилия</t>
  </si>
  <si>
    <t>1572444098</t>
  </si>
  <si>
    <t>1572291926</t>
  </si>
  <si>
    <t>1572200604</t>
  </si>
  <si>
    <t>1572198238</t>
  </si>
  <si>
    <t>1572198049</t>
  </si>
  <si>
    <t>1572197084</t>
  </si>
  <si>
    <t>1572197021</t>
  </si>
  <si>
    <t>1572196575</t>
  </si>
  <si>
    <t>1572196169</t>
  </si>
  <si>
    <t>1572196153</t>
  </si>
  <si>
    <t>1572195727</t>
  </si>
  <si>
    <t>1572195720</t>
  </si>
  <si>
    <t>1572195520</t>
  </si>
  <si>
    <t>1572195396</t>
  </si>
  <si>
    <t>1572195343</t>
  </si>
  <si>
    <t>1572195055</t>
  </si>
  <si>
    <t>1572195032</t>
  </si>
  <si>
    <t>1572194460</t>
  </si>
  <si>
    <t>1572194226</t>
  </si>
  <si>
    <t>1572193746</t>
  </si>
  <si>
    <t>1572192122</t>
  </si>
  <si>
    <t>1572191707</t>
  </si>
  <si>
    <t>1572191159</t>
  </si>
  <si>
    <t>1572190363</t>
  </si>
  <si>
    <t>1572189680</t>
  </si>
  <si>
    <t>есть</t>
  </si>
  <si>
    <t>кол-во</t>
  </si>
  <si>
    <t>ранг</t>
  </si>
  <si>
    <t>ранг теор</t>
  </si>
  <si>
    <t>Варианта ответов</t>
  </si>
  <si>
    <t>кол-во человек</t>
  </si>
  <si>
    <t>варианта ответов</t>
  </si>
  <si>
    <t>d</t>
  </si>
  <si>
    <t>d^2</t>
  </si>
  <si>
    <t xml:space="preserve">Сумма:  </t>
  </si>
  <si>
    <t>Количество вводимых данных</t>
  </si>
  <si>
    <t>Ранг корреляции</t>
  </si>
  <si>
    <t>Способ 1(постепенное вычисление)</t>
  </si>
  <si>
    <t>Способ 2(функция КОРРЕЛ)</t>
  </si>
  <si>
    <t>понятие темы</t>
  </si>
  <si>
    <t>Вам пришло письмо о том, что вы выиграли в лотерее</t>
  </si>
  <si>
    <t>Сообщение от Госуслуг о задолженности</t>
  </si>
  <si>
    <t>Перевод средств (Вам)</t>
  </si>
  <si>
    <t>1573129188</t>
  </si>
  <si>
    <t>это мошенники</t>
  </si>
  <si>
    <t>есть сомнения, необходимо проверить</t>
  </si>
  <si>
    <t>это точно не мошенники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</si>
</sst>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2" xfId="2" applyAlignment="1">
      <alignment horizontal="center" vertical="center"/>
    </xf>
    <xf numFmtId="0" fontId="2" fillId="2" borderId="1" xfId="1" applyAlignment="1">
      <alignment horizontal="left" vertical="center" wrapText="1"/>
    </xf>
    <xf numFmtId="0" fontId="3" fillId="3" borderId="2" xfId="2" applyAlignment="1">
      <alignment horizontal="center" vertical="center" wrapText="1"/>
    </xf>
    <xf numFmtId="0" fontId="2" fillId="2" borderId="1" xfId="1" applyAlignment="1">
      <alignment vertical="center" wrapText="1"/>
    </xf>
    <xf numFmtId="0" fontId="0" fillId="0" borderId="0" xfId="0" applyAlignment="1">
      <alignment vertical="center"/>
    </xf>
    <xf numFmtId="0" fontId="2" fillId="2" borderId="1" xfId="1" applyAlignment="1">
      <alignment horizontal="left" vertical="center" wrapText="1"/>
    </xf>
    <xf numFmtId="0" fontId="3" fillId="3" borderId="2" xfId="2" applyAlignment="1">
      <alignment horizontal="center" vertical="center"/>
    </xf>
    <xf numFmtId="0" fontId="3" fillId="3" borderId="2" xfId="2" applyAlignment="1">
      <alignment horizontal="right" vertical="center"/>
    </xf>
    <xf numFmtId="0" fontId="3" fillId="3" borderId="2" xfId="2"/>
    <xf numFmtId="0" fontId="2" fillId="2" borderId="1" xfId="1"/>
  </cellXfs>
  <cellStyles count="3">
    <cellStyle name="Вывод" xfId="1" builtinId="21"/>
    <cellStyle name="Контрольная ячейка" xfId="2" builtinId="23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'Сводные данные 1'!$A$2:$A$6</c:f>
              <c:strCache>
                <c:ptCount val="5"/>
                <c:pt idx="0">
                  <c:v>Номера банковских счетов (кредитных карт)</c:v>
                </c:pt>
                <c:pt idx="1">
                  <c:v>Секретные слова (ответы) на специальные секретные вопросы, используемые при идентификации вашего аккаунта</c:v>
                </c:pt>
                <c:pt idx="2">
                  <c:v>PIN-коды</c:v>
                </c:pt>
                <c:pt idx="3">
                  <c:v>Ваши имя и фамилия</c:v>
                </c:pt>
                <c:pt idx="4">
                  <c:v>Ваша дата рождения</c:v>
                </c:pt>
              </c:strCache>
            </c:strRef>
          </c:cat>
          <c:val>
            <c:numRef>
              <c:f>'Сводные данные 1'!$B$2:$B$6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3CA-4243-9C0B-B14BBDB0F16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'Сводные данные 1'!$A$2:$A$6</c:f>
              <c:strCache>
                <c:ptCount val="5"/>
                <c:pt idx="0">
                  <c:v>Номера банковских счетов (кредитных карт)</c:v>
                </c:pt>
                <c:pt idx="1">
                  <c:v>Секретные слова (ответы) на специальные секретные вопросы, используемые при идентификации вашего аккаунта</c:v>
                </c:pt>
                <c:pt idx="2">
                  <c:v>PIN-коды</c:v>
                </c:pt>
                <c:pt idx="3">
                  <c:v>Ваши имя и фамилия</c:v>
                </c:pt>
                <c:pt idx="4">
                  <c:v>Ваша дата рождения</c:v>
                </c:pt>
              </c:strCache>
            </c:strRef>
          </c:cat>
          <c:val>
            <c:numRef>
              <c:f>'Сводные данные 1'!$C$2:$C$6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33CA-4243-9C0B-B14BBDB0F16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'Сводные данные 1'!$A$2:$A$6</c:f>
              <c:strCache>
                <c:ptCount val="5"/>
                <c:pt idx="0">
                  <c:v>Номера банковских счетов (кредитных карт)</c:v>
                </c:pt>
                <c:pt idx="1">
                  <c:v>Секретные слова (ответы) на специальные секретные вопросы, используемые при идентификации вашего аккаунта</c:v>
                </c:pt>
                <c:pt idx="2">
                  <c:v>PIN-коды</c:v>
                </c:pt>
                <c:pt idx="3">
                  <c:v>Ваши имя и фамилия</c:v>
                </c:pt>
                <c:pt idx="4">
                  <c:v>Ваша дата рождения</c:v>
                </c:pt>
              </c:strCache>
            </c:strRef>
          </c:cat>
          <c:val>
            <c:numRef>
              <c:f>'Сводные данные 1'!$D$2:$D$6</c:f>
              <c:numCache>
                <c:formatCode>General</c:formatCode>
                <c:ptCount val="5"/>
                <c:pt idx="0">
                  <c:v>23</c:v>
                </c:pt>
                <c:pt idx="1">
                  <c:v>26</c:v>
                </c:pt>
                <c:pt idx="2">
                  <c:v>27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CA-4243-9C0B-B14BBDB0F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97"/>
        <c:axId val="1815910240"/>
        <c:axId val="1984184384"/>
      </c:barChart>
      <c:catAx>
        <c:axId val="181591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184384"/>
        <c:crosses val="autoZero"/>
        <c:auto val="1"/>
        <c:lblAlgn val="ctr"/>
        <c:lblOffset val="100"/>
        <c:noMultiLvlLbl val="0"/>
      </c:catAx>
      <c:valAx>
        <c:axId val="19841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102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Ранги (линейная зависимость)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40000"/>
                    <a:lumOff val="60000"/>
                  </a:schemeClr>
                </a:solidFill>
                <a:prstDash val="solid"/>
              </a:ln>
              <a:effectLst/>
            </c:spPr>
            <c:trendlineType val="linear"/>
            <c:forward val="0.5"/>
            <c:backward val="1"/>
            <c:dispRSqr val="0"/>
            <c:dispEq val="0"/>
          </c:trendline>
          <c:xVal>
            <c:numRef>
              <c:f>'Ранг корреляции'!$C$2:$C$6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xVal>
          <c:yVal>
            <c:numRef>
              <c:f>'Ранг корреляции'!$D$2:$D$6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B-4CEB-B0C1-6002FEEBC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536400"/>
        <c:axId val="1985919104"/>
      </c:scatterChart>
      <c:valAx>
        <c:axId val="181353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919104"/>
        <c:crosses val="autoZero"/>
        <c:crossBetween val="midCat"/>
      </c:valAx>
      <c:valAx>
        <c:axId val="19859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353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Ранги (полиноминальная зависимость)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40000"/>
                    <a:lumOff val="60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5"/>
            <c:backward val="1"/>
            <c:dispRSqr val="0"/>
            <c:dispEq val="0"/>
          </c:trendline>
          <c:xVal>
            <c:numRef>
              <c:f>'Ранг корреляции'!$C$2:$C$6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xVal>
          <c:yVal>
            <c:numRef>
              <c:f>'Ранг корреляции'!$D$2:$D$6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8A-4830-AD82-EAB159602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913600"/>
        <c:axId val="2066118512"/>
      </c:scatterChart>
      <c:valAx>
        <c:axId val="181591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6118512"/>
        <c:crosses val="autoZero"/>
        <c:crossBetween val="midCat"/>
      </c:valAx>
      <c:valAx>
        <c:axId val="206611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591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166688</xdr:colOff>
      <xdr:row>23</xdr:row>
      <xdr:rowOff>42863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507271-66E3-C6A3-8BC1-B5E206E43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545306</xdr:colOff>
      <xdr:row>20</xdr:row>
      <xdr:rowOff>40481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207F363-B06D-6C78-8343-D0CBCC50B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176213</xdr:colOff>
      <xdr:row>21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303342-BF4F-7CC0-4195-DA351005A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H2" sqref="H2"/>
    </sheetView>
  </sheetViews>
  <sheetFormatPr defaultRowHeight="14.25" x14ac:dyDescent="0.45"/>
  <sheetData>
    <row r="1" spans="1:8" s="1" customFormat="1" x14ac:dyDescent="0.45">
      <c r="A1" t="s">
        <v>0</v>
      </c>
      <c r="B1" t="s">
        <v>2</v>
      </c>
      <c r="C1" t="s">
        <v>3</v>
      </c>
      <c r="D1" t="s">
        <v>4</v>
      </c>
      <c r="E1" t="s">
        <v>7</v>
      </c>
      <c r="F1" t="s">
        <v>5</v>
      </c>
      <c r="H1" s="1" t="s">
        <v>47</v>
      </c>
    </row>
    <row r="2" spans="1:8" x14ac:dyDescent="0.45">
      <c r="A2" t="s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0</v>
      </c>
      <c r="H2" t="s">
        <v>33</v>
      </c>
    </row>
    <row r="3" spans="1:8" x14ac:dyDescent="0.45">
      <c r="A3" t="s">
        <v>6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 t="s">
        <v>33</v>
      </c>
    </row>
    <row r="4" spans="1:8" x14ac:dyDescent="0.45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 t="s">
        <v>33</v>
      </c>
    </row>
    <row r="5" spans="1:8" x14ac:dyDescent="0.45">
      <c r="A5" t="s">
        <v>9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 t="s">
        <v>33</v>
      </c>
    </row>
    <row r="6" spans="1:8" x14ac:dyDescent="0.45">
      <c r="A6" t="s">
        <v>10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 t="s">
        <v>33</v>
      </c>
    </row>
    <row r="7" spans="1:8" x14ac:dyDescent="0.45">
      <c r="A7" t="s">
        <v>11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 t="s">
        <v>33</v>
      </c>
    </row>
    <row r="8" spans="1:8" x14ac:dyDescent="0.45">
      <c r="A8" t="s">
        <v>12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 t="s">
        <v>33</v>
      </c>
    </row>
    <row r="9" spans="1:8" x14ac:dyDescent="0.45">
      <c r="A9" t="s">
        <v>13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 t="s">
        <v>33</v>
      </c>
    </row>
    <row r="10" spans="1:8" x14ac:dyDescent="0.45">
      <c r="A10" t="s">
        <v>14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 t="s">
        <v>33</v>
      </c>
    </row>
    <row r="11" spans="1:8" x14ac:dyDescent="0.45">
      <c r="A11" t="s">
        <v>15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 t="s">
        <v>33</v>
      </c>
    </row>
    <row r="12" spans="1:8" x14ac:dyDescent="0.45">
      <c r="A12" t="s">
        <v>16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 t="s">
        <v>33</v>
      </c>
    </row>
    <row r="13" spans="1:8" x14ac:dyDescent="0.45">
      <c r="A13" t="s">
        <v>17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 t="s">
        <v>33</v>
      </c>
    </row>
    <row r="14" spans="1:8" x14ac:dyDescent="0.45">
      <c r="A14" t="s">
        <v>18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 t="s">
        <v>33</v>
      </c>
    </row>
    <row r="15" spans="1:8" x14ac:dyDescent="0.45">
      <c r="A15" t="s">
        <v>19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 t="s">
        <v>33</v>
      </c>
    </row>
    <row r="16" spans="1:8" x14ac:dyDescent="0.45">
      <c r="A16" t="s">
        <v>20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 t="s">
        <v>33</v>
      </c>
    </row>
    <row r="17" spans="1:8" x14ac:dyDescent="0.45">
      <c r="A17" t="s">
        <v>21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 t="s">
        <v>33</v>
      </c>
    </row>
    <row r="18" spans="1:8" x14ac:dyDescent="0.45">
      <c r="A18" t="s">
        <v>22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 t="s">
        <v>33</v>
      </c>
    </row>
    <row r="19" spans="1:8" x14ac:dyDescent="0.45">
      <c r="A19" t="s">
        <v>23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 t="s">
        <v>33</v>
      </c>
    </row>
    <row r="20" spans="1:8" x14ac:dyDescent="0.45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 t="s">
        <v>33</v>
      </c>
    </row>
    <row r="21" spans="1:8" x14ac:dyDescent="0.45">
      <c r="A21" t="s">
        <v>25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 t="s">
        <v>33</v>
      </c>
    </row>
    <row r="22" spans="1:8" x14ac:dyDescent="0.45">
      <c r="A22" t="s">
        <v>26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 t="s">
        <v>33</v>
      </c>
    </row>
    <row r="23" spans="1:8" x14ac:dyDescent="0.45">
      <c r="A23" t="s">
        <v>27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 t="s">
        <v>33</v>
      </c>
    </row>
    <row r="24" spans="1:8" x14ac:dyDescent="0.45">
      <c r="A24" t="s">
        <v>28</v>
      </c>
      <c r="B24">
        <v>1</v>
      </c>
      <c r="C24">
        <v>1</v>
      </c>
      <c r="D24">
        <v>1</v>
      </c>
      <c r="E24">
        <v>0</v>
      </c>
      <c r="F24">
        <v>1</v>
      </c>
      <c r="G24">
        <v>0</v>
      </c>
      <c r="H24" t="s">
        <v>33</v>
      </c>
    </row>
    <row r="25" spans="1:8" x14ac:dyDescent="0.45">
      <c r="A25" t="s">
        <v>29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 t="s">
        <v>33</v>
      </c>
    </row>
    <row r="26" spans="1:8" x14ac:dyDescent="0.45">
      <c r="A26" t="s">
        <v>30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 t="s">
        <v>33</v>
      </c>
    </row>
    <row r="27" spans="1:8" x14ac:dyDescent="0.45">
      <c r="A27" t="s">
        <v>31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 t="s">
        <v>33</v>
      </c>
    </row>
    <row r="28" spans="1:8" x14ac:dyDescent="0.45">
      <c r="A28" t="s">
        <v>32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EE1F-AED5-40CF-9A9C-222E1CFC4822}">
  <dimension ref="A1:D6"/>
  <sheetViews>
    <sheetView workbookViewId="0">
      <selection activeCell="A2" sqref="A2:C6"/>
    </sheetView>
  </sheetViews>
  <sheetFormatPr defaultRowHeight="14.25" x14ac:dyDescent="0.45"/>
  <cols>
    <col min="1" max="1" width="9.06640625" style="3"/>
    <col min="2" max="2" width="14.1328125" style="3" customWidth="1"/>
    <col min="3" max="3" width="17.46484375" style="3" customWidth="1"/>
    <col min="4" max="4" width="17.9296875" style="3" customWidth="1"/>
    <col min="5" max="16384" width="9.06640625" style="3"/>
  </cols>
  <sheetData>
    <row r="1" spans="1:4" ht="15" thickTop="1" thickBot="1" x14ac:dyDescent="0.5">
      <c r="A1" s="10" t="s">
        <v>37</v>
      </c>
      <c r="B1" s="10"/>
      <c r="C1" s="10"/>
      <c r="D1" s="4" t="s">
        <v>38</v>
      </c>
    </row>
    <row r="2" spans="1:4" ht="28.9" customHeight="1" thickTop="1" x14ac:dyDescent="0.45">
      <c r="A2" s="9" t="s">
        <v>2</v>
      </c>
      <c r="B2" s="9"/>
      <c r="C2" s="9"/>
      <c r="D2" s="3">
        <v>23</v>
      </c>
    </row>
    <row r="3" spans="1:4" ht="42.4" customHeight="1" x14ac:dyDescent="0.45">
      <c r="A3" s="9" t="s">
        <v>3</v>
      </c>
      <c r="B3" s="9"/>
      <c r="C3" s="9"/>
      <c r="D3" s="3">
        <v>26</v>
      </c>
    </row>
    <row r="4" spans="1:4" x14ac:dyDescent="0.45">
      <c r="A4" s="9" t="s">
        <v>4</v>
      </c>
      <c r="B4" s="9"/>
      <c r="C4" s="9"/>
      <c r="D4" s="3">
        <v>27</v>
      </c>
    </row>
    <row r="5" spans="1:4" x14ac:dyDescent="0.45">
      <c r="A5" s="9" t="s">
        <v>7</v>
      </c>
      <c r="B5" s="9"/>
      <c r="C5" s="9"/>
      <c r="D5" s="3">
        <v>5</v>
      </c>
    </row>
    <row r="6" spans="1:4" x14ac:dyDescent="0.45">
      <c r="A6" s="9" t="s">
        <v>5</v>
      </c>
      <c r="B6" s="9"/>
      <c r="C6" s="9"/>
      <c r="D6" s="3">
        <v>7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E136-C2BA-4B24-AD4A-C98EB097EEDB}">
  <dimension ref="A1"/>
  <sheetViews>
    <sheetView workbookViewId="0">
      <selection activeCell="M20" sqref="M20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2999-BF02-490A-9343-95929A94D0BB}">
  <dimension ref="A1:D29"/>
  <sheetViews>
    <sheetView tabSelected="1" workbookViewId="0">
      <selection activeCell="E1" sqref="E1:E1048576"/>
    </sheetView>
  </sheetViews>
  <sheetFormatPr defaultRowHeight="14.25" x14ac:dyDescent="0.45"/>
  <cols>
    <col min="2" max="2" width="37.3984375" customWidth="1"/>
    <col min="3" max="3" width="35.46484375" customWidth="1"/>
    <col min="4" max="4" width="34.1328125" customWidth="1"/>
  </cols>
  <sheetData>
    <row r="1" spans="1:4" s="1" customFormat="1" x14ac:dyDescent="0.45">
      <c r="A1" t="s">
        <v>0</v>
      </c>
      <c r="B1" t="s">
        <v>48</v>
      </c>
      <c r="C1" t="s">
        <v>49</v>
      </c>
      <c r="D1" t="s">
        <v>50</v>
      </c>
    </row>
    <row r="2" spans="1:4" x14ac:dyDescent="0.45">
      <c r="A2" t="s">
        <v>51</v>
      </c>
      <c r="B2" t="s">
        <v>52</v>
      </c>
      <c r="C2" t="s">
        <v>53</v>
      </c>
      <c r="D2" t="s">
        <v>52</v>
      </c>
    </row>
    <row r="3" spans="1:4" x14ac:dyDescent="0.45">
      <c r="A3" t="s">
        <v>1</v>
      </c>
      <c r="B3" t="s">
        <v>53</v>
      </c>
      <c r="C3" t="s">
        <v>53</v>
      </c>
      <c r="D3" t="s">
        <v>54</v>
      </c>
    </row>
    <row r="4" spans="1:4" x14ac:dyDescent="0.45">
      <c r="A4" t="s">
        <v>6</v>
      </c>
      <c r="B4" t="s">
        <v>53</v>
      </c>
      <c r="C4" t="s">
        <v>53</v>
      </c>
      <c r="D4" t="s">
        <v>54</v>
      </c>
    </row>
    <row r="5" spans="1:4" x14ac:dyDescent="0.45">
      <c r="A5" t="s">
        <v>8</v>
      </c>
      <c r="B5" t="s">
        <v>52</v>
      </c>
      <c r="C5" t="s">
        <v>54</v>
      </c>
      <c r="D5" t="s">
        <v>53</v>
      </c>
    </row>
    <row r="6" spans="1:4" x14ac:dyDescent="0.45">
      <c r="A6" t="s">
        <v>9</v>
      </c>
      <c r="B6" t="s">
        <v>52</v>
      </c>
      <c r="C6" t="s">
        <v>54</v>
      </c>
      <c r="D6" t="s">
        <v>53</v>
      </c>
    </row>
    <row r="7" spans="1:4" x14ac:dyDescent="0.45">
      <c r="A7" t="s">
        <v>10</v>
      </c>
      <c r="B7" t="s">
        <v>52</v>
      </c>
      <c r="C7" t="s">
        <v>52</v>
      </c>
      <c r="D7" t="s">
        <v>53</v>
      </c>
    </row>
    <row r="8" spans="1:4" x14ac:dyDescent="0.45">
      <c r="A8" t="s">
        <v>11</v>
      </c>
      <c r="B8" t="s">
        <v>52</v>
      </c>
      <c r="C8" t="s">
        <v>53</v>
      </c>
      <c r="D8" t="s">
        <v>53</v>
      </c>
    </row>
    <row r="9" spans="1:4" x14ac:dyDescent="0.45">
      <c r="A9" t="s">
        <v>12</v>
      </c>
      <c r="B9" t="s">
        <v>52</v>
      </c>
      <c r="C9" t="s">
        <v>54</v>
      </c>
      <c r="D9" t="s">
        <v>53</v>
      </c>
    </row>
    <row r="10" spans="1:4" x14ac:dyDescent="0.45">
      <c r="A10" t="s">
        <v>13</v>
      </c>
      <c r="B10" t="s">
        <v>52</v>
      </c>
      <c r="C10" t="s">
        <v>53</v>
      </c>
      <c r="D10" t="s">
        <v>54</v>
      </c>
    </row>
    <row r="11" spans="1:4" x14ac:dyDescent="0.45">
      <c r="A11" t="s">
        <v>14</v>
      </c>
      <c r="B11" t="s">
        <v>52</v>
      </c>
      <c r="C11" t="s">
        <v>52</v>
      </c>
      <c r="D11" t="s">
        <v>52</v>
      </c>
    </row>
    <row r="12" spans="1:4" x14ac:dyDescent="0.45">
      <c r="A12" t="s">
        <v>15</v>
      </c>
      <c r="B12" t="s">
        <v>52</v>
      </c>
      <c r="C12" t="s">
        <v>54</v>
      </c>
      <c r="D12" t="s">
        <v>54</v>
      </c>
    </row>
    <row r="13" spans="1:4" x14ac:dyDescent="0.45">
      <c r="A13" t="s">
        <v>16</v>
      </c>
      <c r="B13" t="s">
        <v>53</v>
      </c>
      <c r="C13" t="s">
        <v>53</v>
      </c>
      <c r="D13" t="s">
        <v>53</v>
      </c>
    </row>
    <row r="14" spans="1:4" x14ac:dyDescent="0.45">
      <c r="A14" t="s">
        <v>17</v>
      </c>
      <c r="B14" t="s">
        <v>52</v>
      </c>
      <c r="C14" t="s">
        <v>54</v>
      </c>
      <c r="D14" t="s">
        <v>54</v>
      </c>
    </row>
    <row r="15" spans="1:4" x14ac:dyDescent="0.45">
      <c r="A15" t="s">
        <v>18</v>
      </c>
      <c r="B15" t="s">
        <v>52</v>
      </c>
      <c r="C15" t="s">
        <v>52</v>
      </c>
      <c r="D15" t="s">
        <v>54</v>
      </c>
    </row>
    <row r="16" spans="1:4" x14ac:dyDescent="0.45">
      <c r="A16" t="s">
        <v>19</v>
      </c>
      <c r="B16" t="s">
        <v>52</v>
      </c>
      <c r="C16" t="s">
        <v>54</v>
      </c>
      <c r="D16" t="s">
        <v>53</v>
      </c>
    </row>
    <row r="17" spans="1:4" x14ac:dyDescent="0.45">
      <c r="A17" t="s">
        <v>20</v>
      </c>
      <c r="B17" t="s">
        <v>52</v>
      </c>
      <c r="C17" t="s">
        <v>53</v>
      </c>
      <c r="D17" t="s">
        <v>53</v>
      </c>
    </row>
    <row r="18" spans="1:4" x14ac:dyDescent="0.45">
      <c r="A18" t="s">
        <v>21</v>
      </c>
      <c r="B18" t="s">
        <v>52</v>
      </c>
      <c r="C18" t="s">
        <v>52</v>
      </c>
      <c r="D18" t="s">
        <v>52</v>
      </c>
    </row>
    <row r="19" spans="1:4" x14ac:dyDescent="0.45">
      <c r="A19" t="s">
        <v>22</v>
      </c>
      <c r="B19" t="s">
        <v>53</v>
      </c>
      <c r="C19" t="s">
        <v>53</v>
      </c>
      <c r="D19" t="s">
        <v>53</v>
      </c>
    </row>
    <row r="20" spans="1:4" x14ac:dyDescent="0.45">
      <c r="A20" t="s">
        <v>23</v>
      </c>
      <c r="B20" t="s">
        <v>53</v>
      </c>
      <c r="C20" t="s">
        <v>53</v>
      </c>
      <c r="D20" t="s">
        <v>53</v>
      </c>
    </row>
    <row r="21" spans="1:4" x14ac:dyDescent="0.45">
      <c r="A21" t="s">
        <v>24</v>
      </c>
      <c r="B21" t="s">
        <v>53</v>
      </c>
      <c r="C21" t="s">
        <v>53</v>
      </c>
      <c r="D21" t="s">
        <v>53</v>
      </c>
    </row>
    <row r="22" spans="1:4" x14ac:dyDescent="0.45">
      <c r="A22" t="s">
        <v>25</v>
      </c>
      <c r="B22" t="s">
        <v>52</v>
      </c>
      <c r="C22" t="s">
        <v>53</v>
      </c>
      <c r="D22" t="s">
        <v>53</v>
      </c>
    </row>
    <row r="23" spans="1:4" x14ac:dyDescent="0.45">
      <c r="A23" t="s">
        <v>26</v>
      </c>
      <c r="B23" t="s">
        <v>52</v>
      </c>
      <c r="C23" t="s">
        <v>53</v>
      </c>
      <c r="D23" t="s">
        <v>54</v>
      </c>
    </row>
    <row r="24" spans="1:4" x14ac:dyDescent="0.45">
      <c r="A24" t="s">
        <v>27</v>
      </c>
      <c r="B24" t="s">
        <v>53</v>
      </c>
      <c r="C24" t="s">
        <v>53</v>
      </c>
      <c r="D24" t="s">
        <v>53</v>
      </c>
    </row>
    <row r="25" spans="1:4" x14ac:dyDescent="0.45">
      <c r="A25" t="s">
        <v>28</v>
      </c>
      <c r="B25" t="s">
        <v>52</v>
      </c>
      <c r="C25" t="s">
        <v>53</v>
      </c>
      <c r="D25" t="s">
        <v>53</v>
      </c>
    </row>
    <row r="26" spans="1:4" x14ac:dyDescent="0.45">
      <c r="A26" t="s">
        <v>29</v>
      </c>
      <c r="B26" t="s">
        <v>52</v>
      </c>
      <c r="C26" t="s">
        <v>54</v>
      </c>
      <c r="D26" t="s">
        <v>53</v>
      </c>
    </row>
    <row r="27" spans="1:4" x14ac:dyDescent="0.45">
      <c r="A27" t="s">
        <v>30</v>
      </c>
      <c r="B27" t="s">
        <v>52</v>
      </c>
      <c r="C27" t="s">
        <v>53</v>
      </c>
      <c r="D27" t="s">
        <v>54</v>
      </c>
    </row>
    <row r="28" spans="1:4" x14ac:dyDescent="0.45">
      <c r="A28" t="s">
        <v>31</v>
      </c>
      <c r="B28" t="s">
        <v>52</v>
      </c>
      <c r="C28" t="s">
        <v>53</v>
      </c>
      <c r="D28" t="s">
        <v>53</v>
      </c>
    </row>
    <row r="29" spans="1:4" x14ac:dyDescent="0.45">
      <c r="A29" t="s">
        <v>32</v>
      </c>
      <c r="B29" t="s">
        <v>52</v>
      </c>
      <c r="C29" t="s">
        <v>54</v>
      </c>
      <c r="D29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DF20-7C45-424C-BC93-475EADEE9547}">
  <dimension ref="A1:D6"/>
  <sheetViews>
    <sheetView workbookViewId="0">
      <selection activeCell="G3" sqref="G3"/>
    </sheetView>
  </sheetViews>
  <sheetFormatPr defaultRowHeight="14.25" x14ac:dyDescent="0.45"/>
  <cols>
    <col min="1" max="1" width="35.86328125" customWidth="1"/>
  </cols>
  <sheetData>
    <row r="1" spans="1:4" ht="15" thickTop="1" thickBot="1" x14ac:dyDescent="0.5">
      <c r="A1" s="6" t="s">
        <v>39</v>
      </c>
      <c r="B1" s="6" t="s">
        <v>34</v>
      </c>
      <c r="C1" s="6" t="s">
        <v>35</v>
      </c>
      <c r="D1" s="6" t="s">
        <v>36</v>
      </c>
    </row>
    <row r="2" spans="1:4" ht="28.9" thickTop="1" x14ac:dyDescent="0.45">
      <c r="A2" s="5" t="s">
        <v>2</v>
      </c>
      <c r="B2" s="2">
        <f>SUM(Таблица1!B2:B28)</f>
        <v>23</v>
      </c>
      <c r="C2" s="2">
        <f>RANK(B2,$B$2:$B$6)</f>
        <v>3</v>
      </c>
      <c r="D2" s="2">
        <v>2</v>
      </c>
    </row>
    <row r="3" spans="1:4" ht="57" x14ac:dyDescent="0.45">
      <c r="A3" s="5" t="s">
        <v>3</v>
      </c>
      <c r="B3" s="2">
        <f>SUM(Таблица1!C2:C28)</f>
        <v>26</v>
      </c>
      <c r="C3" s="2">
        <f t="shared" ref="C3:C5" si="0">RANK(B3,$B$2:$B$6)</f>
        <v>2</v>
      </c>
      <c r="D3" s="2">
        <v>3</v>
      </c>
    </row>
    <row r="4" spans="1:4" x14ac:dyDescent="0.45">
      <c r="A4" s="5" t="s">
        <v>4</v>
      </c>
      <c r="B4" s="2">
        <f>SUM(Таблица1!D2:D28)</f>
        <v>27</v>
      </c>
      <c r="C4" s="2">
        <f t="shared" si="0"/>
        <v>1</v>
      </c>
      <c r="D4" s="2">
        <v>1</v>
      </c>
    </row>
    <row r="5" spans="1:4" x14ac:dyDescent="0.45">
      <c r="A5" s="5" t="s">
        <v>7</v>
      </c>
      <c r="B5" s="2">
        <f>SUM(Таблица1!E2:E28)</f>
        <v>5</v>
      </c>
      <c r="C5" s="2">
        <f t="shared" si="0"/>
        <v>5</v>
      </c>
      <c r="D5" s="2">
        <v>5</v>
      </c>
    </row>
    <row r="6" spans="1:4" x14ac:dyDescent="0.45">
      <c r="A6" s="5" t="s">
        <v>5</v>
      </c>
      <c r="B6" s="2">
        <f>SUM(Таблица1!F2:F28)</f>
        <v>7</v>
      </c>
      <c r="C6" s="2">
        <f>RANK(B6,$B$2:$B$6)</f>
        <v>4</v>
      </c>
      <c r="D6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D11A-9D4F-47AF-A7EC-35FBA2C7F5C0}">
  <dimension ref="A1:G16"/>
  <sheetViews>
    <sheetView workbookViewId="0">
      <selection activeCell="E18" sqref="E18"/>
    </sheetView>
  </sheetViews>
  <sheetFormatPr defaultRowHeight="14.25" x14ac:dyDescent="0.45"/>
  <cols>
    <col min="1" max="1" width="38.1328125" style="3" customWidth="1"/>
    <col min="2" max="8" width="9.06640625" style="3"/>
    <col min="9" max="9" width="9.06640625" style="3" customWidth="1"/>
    <col min="10" max="16384" width="9.06640625" style="3"/>
  </cols>
  <sheetData>
    <row r="1" spans="1:7" ht="15" thickTop="1" thickBot="1" x14ac:dyDescent="0.5">
      <c r="A1" s="6" t="s">
        <v>39</v>
      </c>
      <c r="B1" s="6" t="s">
        <v>34</v>
      </c>
      <c r="C1" s="6" t="s">
        <v>35</v>
      </c>
      <c r="D1" s="6" t="s">
        <v>36</v>
      </c>
      <c r="E1" s="4"/>
      <c r="F1" s="4" t="s">
        <v>40</v>
      </c>
      <c r="G1" s="4" t="s">
        <v>41</v>
      </c>
    </row>
    <row r="2" spans="1:7" ht="28.9" thickTop="1" x14ac:dyDescent="0.45">
      <c r="A2" s="7" t="s">
        <v>2</v>
      </c>
      <c r="B2" s="2">
        <f>SUM(Таблица1!B2:B28)</f>
        <v>23</v>
      </c>
      <c r="C2" s="2">
        <f>RANK(B2,$B$2:$B$6)</f>
        <v>3</v>
      </c>
      <c r="D2" s="2">
        <v>2</v>
      </c>
      <c r="F2" s="3">
        <f>C2-D2</f>
        <v>1</v>
      </c>
      <c r="G2" s="3">
        <f>F2^2</f>
        <v>1</v>
      </c>
    </row>
    <row r="3" spans="1:7" ht="42.75" x14ac:dyDescent="0.45">
      <c r="A3" s="7" t="s">
        <v>3</v>
      </c>
      <c r="B3" s="2">
        <f>SUM(Таблица1!C2:C28)</f>
        <v>26</v>
      </c>
      <c r="C3" s="2">
        <f t="shared" ref="C3:C5" si="0">RANK(B3,$B$2:$B$6)</f>
        <v>2</v>
      </c>
      <c r="D3" s="2">
        <v>3</v>
      </c>
      <c r="F3" s="3">
        <f>C3-D3</f>
        <v>-1</v>
      </c>
      <c r="G3" s="3">
        <f>F3^2</f>
        <v>1</v>
      </c>
    </row>
    <row r="4" spans="1:7" x14ac:dyDescent="0.45">
      <c r="A4" s="7" t="s">
        <v>4</v>
      </c>
      <c r="B4" s="2">
        <f>SUM(Таблица1!D2:D28)</f>
        <v>27</v>
      </c>
      <c r="C4" s="2">
        <f t="shared" si="0"/>
        <v>1</v>
      </c>
      <c r="D4" s="2">
        <v>1</v>
      </c>
      <c r="F4" s="3">
        <f>C4-D4</f>
        <v>0</v>
      </c>
      <c r="G4" s="3">
        <f t="shared" ref="G4:G5" si="1">F4^2</f>
        <v>0</v>
      </c>
    </row>
    <row r="5" spans="1:7" x14ac:dyDescent="0.45">
      <c r="A5" s="7" t="s">
        <v>7</v>
      </c>
      <c r="B5" s="2">
        <f>SUM(Таблица1!E2:E28)</f>
        <v>5</v>
      </c>
      <c r="C5" s="2">
        <f t="shared" si="0"/>
        <v>5</v>
      </c>
      <c r="D5" s="2">
        <v>5</v>
      </c>
      <c r="F5" s="3">
        <f>C5-D5</f>
        <v>0</v>
      </c>
      <c r="G5" s="3">
        <f t="shared" si="1"/>
        <v>0</v>
      </c>
    </row>
    <row r="6" spans="1:7" ht="14.65" thickBot="1" x14ac:dyDescent="0.5">
      <c r="A6" s="7" t="s">
        <v>5</v>
      </c>
      <c r="B6" s="2">
        <f>SUM(Таблица1!F2:F28)</f>
        <v>7</v>
      </c>
      <c r="C6" s="2">
        <f>RANK(B6,$B$2:$B$6)</f>
        <v>4</v>
      </c>
      <c r="D6" s="2">
        <v>4</v>
      </c>
      <c r="F6" s="3">
        <f>C6-D6</f>
        <v>0</v>
      </c>
      <c r="G6" s="3">
        <f t="shared" ref="G6" si="2">F6^2</f>
        <v>0</v>
      </c>
    </row>
    <row r="7" spans="1:7" ht="15" thickTop="1" thickBot="1" x14ac:dyDescent="0.5">
      <c r="A7" s="11" t="s">
        <v>42</v>
      </c>
      <c r="B7" s="11"/>
      <c r="C7" s="11"/>
      <c r="D7" s="11"/>
      <c r="E7" s="11"/>
      <c r="F7" s="11"/>
      <c r="G7" s="3">
        <f>SUM(G2:G6)</f>
        <v>2</v>
      </c>
    </row>
    <row r="8" spans="1:7" customFormat="1" ht="15" thickTop="1" thickBot="1" x14ac:dyDescent="0.5">
      <c r="C8" s="3"/>
      <c r="D8" s="3"/>
      <c r="E8" s="3"/>
    </row>
    <row r="9" spans="1:7" ht="15" thickTop="1" thickBot="1" x14ac:dyDescent="0.5">
      <c r="A9" s="4" t="s">
        <v>43</v>
      </c>
      <c r="D9"/>
      <c r="E9"/>
    </row>
    <row r="10" spans="1:7" ht="14.65" thickTop="1" x14ac:dyDescent="0.45">
      <c r="A10" s="3">
        <v>5</v>
      </c>
    </row>
    <row r="11" spans="1:7" ht="14.65" thickBot="1" x14ac:dyDescent="0.5"/>
    <row r="12" spans="1:7" ht="15" thickTop="1" thickBot="1" x14ac:dyDescent="0.5">
      <c r="A12" s="12" t="s">
        <v>44</v>
      </c>
      <c r="B12" s="12"/>
      <c r="C12" s="12"/>
    </row>
    <row r="13" spans="1:7" ht="14.65" thickTop="1" x14ac:dyDescent="0.45">
      <c r="A13" s="13" t="s">
        <v>45</v>
      </c>
      <c r="B13" s="13"/>
      <c r="C13">
        <f>1-((6*G7)/(A10*(A10*A10-1)))</f>
        <v>0.9</v>
      </c>
    </row>
    <row r="14" spans="1:7" x14ac:dyDescent="0.45">
      <c r="A14" s="13" t="s">
        <v>46</v>
      </c>
      <c r="B14" s="13"/>
      <c r="C14">
        <f>CORREL(C2:C6,D2:D6)</f>
        <v>0.8999999999999998</v>
      </c>
    </row>
    <row r="16" spans="1:7" x14ac:dyDescent="0.45">
      <c r="G16" s="8"/>
    </row>
  </sheetData>
  <mergeCells count="4">
    <mergeCell ref="A7:F7"/>
    <mergeCell ref="A12:C12"/>
    <mergeCell ref="A13:B13"/>
    <mergeCell ref="A14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0EAD-A0A5-4D89-9BEB-8C2E5A9C78CE}">
  <dimension ref="A1"/>
  <sheetViews>
    <sheetView workbookViewId="0">
      <selection activeCell="L6" sqref="L6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B012-D097-4B38-B376-1F0C7F65A668}">
  <dimension ref="A1"/>
  <sheetViews>
    <sheetView workbookViewId="0">
      <selection activeCell="L1" sqref="L1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Таблица1</vt:lpstr>
      <vt:lpstr>Сводные данные 1</vt:lpstr>
      <vt:lpstr>Гистограмма1</vt:lpstr>
      <vt:lpstr>Таблица2</vt:lpstr>
      <vt:lpstr>Таблица3</vt:lpstr>
      <vt:lpstr>Ранг корреляции</vt:lpstr>
      <vt:lpstr>Диаграмма1</vt:lpstr>
      <vt:lpstr>Диаграмма2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Мария Кочеткова</cp:lastModifiedBy>
  <dcterms:created xsi:type="dcterms:W3CDTF">2023-12-11T08:52:45Z</dcterms:created>
  <dcterms:modified xsi:type="dcterms:W3CDTF">2023-12-16T19:05:34Z</dcterms:modified>
</cp:coreProperties>
</file>
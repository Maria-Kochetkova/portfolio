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Мария\Desktop\"/>
    </mc:Choice>
  </mc:AlternateContent>
  <xr:revisionPtr revIDLastSave="0" documentId="13_ncr:1_{27005F3D-EB20-4E97-A34F-C9B24565BE05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" l="1"/>
  <c r="I4" i="1"/>
  <c r="I21" i="1"/>
  <c r="I16" i="1"/>
  <c r="I17" i="1"/>
  <c r="I18" i="1"/>
  <c r="I19" i="1"/>
  <c r="I20" i="1"/>
  <c r="I15" i="1"/>
  <c r="H16" i="1"/>
  <c r="H17" i="1"/>
  <c r="H18" i="1"/>
  <c r="H19" i="1"/>
  <c r="H20" i="1"/>
  <c r="H15" i="1"/>
  <c r="G21" i="1"/>
  <c r="G16" i="1"/>
  <c r="G17" i="1"/>
  <c r="G18" i="1"/>
  <c r="G19" i="1"/>
  <c r="G20" i="1"/>
  <c r="G15" i="1"/>
  <c r="F17" i="1"/>
  <c r="F16" i="1"/>
  <c r="F20" i="1"/>
  <c r="F19" i="1"/>
  <c r="F18" i="1"/>
  <c r="F15" i="1"/>
  <c r="E20" i="1"/>
  <c r="E21" i="1"/>
  <c r="E16" i="1"/>
  <c r="E17" i="1"/>
  <c r="E18" i="1"/>
  <c r="E19" i="1"/>
  <c r="E15" i="1"/>
  <c r="C21" i="1"/>
  <c r="E3" i="1"/>
  <c r="E4" i="1"/>
  <c r="E5" i="1"/>
  <c r="E6" i="1"/>
  <c r="E7" i="1"/>
  <c r="E2" i="1"/>
  <c r="C8" i="1"/>
  <c r="F21" i="1" l="1"/>
  <c r="B10" i="1"/>
  <c r="F3" i="1"/>
  <c r="F4" i="1"/>
  <c r="F5" i="1"/>
  <c r="F6" i="1"/>
  <c r="F7" i="1"/>
  <c r="F2" i="1"/>
  <c r="B11" i="1" s="1"/>
</calcChain>
</file>

<file path=xl/sharedStrings.xml><?xml version="1.0" encoding="utf-8"?>
<sst xmlns="http://schemas.openxmlformats.org/spreadsheetml/2006/main" count="44" uniqueCount="35">
  <si>
    <t>190 - 200</t>
  </si>
  <si>
    <t>200 - 210</t>
  </si>
  <si>
    <t>210 - 220</t>
  </si>
  <si>
    <t>220 - 230</t>
  </si>
  <si>
    <t>230 - 240</t>
  </si>
  <si>
    <t>240 - 250</t>
  </si>
  <si>
    <t>Среднее значение интервала, xi</t>
  </si>
  <si>
    <t>Частота, ni</t>
  </si>
  <si>
    <t>α</t>
  </si>
  <si>
    <r>
      <t>x</t>
    </r>
    <r>
      <rPr>
        <sz val="11"/>
        <color theme="1"/>
        <rFont val="Calibri"/>
        <family val="2"/>
        <charset val="204"/>
      </rPr>
      <t>̅ =</t>
    </r>
  </si>
  <si>
    <r>
      <rPr>
        <sz val="11"/>
        <color theme="1"/>
        <rFont val="Calibri"/>
        <family val="2"/>
        <charset val="204"/>
      </rPr>
      <t>σ</t>
    </r>
    <r>
      <rPr>
        <sz val="11"/>
        <color theme="1"/>
        <rFont val="Calibri"/>
        <family val="2"/>
      </rPr>
      <t xml:space="preserve"> =</t>
    </r>
  </si>
  <si>
    <t>xi*ni</t>
  </si>
  <si>
    <r>
      <t>кг/см</t>
    </r>
    <r>
      <rPr>
        <sz val="11"/>
        <color theme="1"/>
        <rFont val="Calibri"/>
        <family val="2"/>
      </rPr>
      <t>²</t>
    </r>
  </si>
  <si>
    <t>СУММ</t>
  </si>
  <si>
    <t>Нормированние интервала [Ui;Ui+1]</t>
  </si>
  <si>
    <t>[-1,70; -0,89]</t>
  </si>
  <si>
    <t>(-∞; -1,70)</t>
  </si>
  <si>
    <t>[-0,08; 0,73]</t>
  </si>
  <si>
    <t>[0,73; 1,54]</t>
  </si>
  <si>
    <t>[1,54; +∞)</t>
  </si>
  <si>
    <t>[-0,89; -0,08]</t>
  </si>
  <si>
    <t>Pi = [Ф(Ui+1) - Ф(Ui)]</t>
  </si>
  <si>
    <t>xi</t>
  </si>
  <si>
    <t>nPi</t>
  </si>
  <si>
    <t>(ni-nPi)²/nPi</t>
  </si>
  <si>
    <t>k</t>
  </si>
  <si>
    <t>r</t>
  </si>
  <si>
    <t>v=</t>
  </si>
  <si>
    <t>X²расч=1,36</t>
  </si>
  <si>
    <t>X²крит=16,266</t>
  </si>
  <si>
    <t>Интервал прочности, кг/см²</t>
  </si>
  <si>
    <t>(xi - x̅)²*ni</t>
  </si>
  <si>
    <t>(ni-nPi)²</t>
  </si>
  <si>
    <t>σ² =</t>
  </si>
  <si>
    <r>
      <t>так как X</t>
    </r>
    <r>
      <rPr>
        <sz val="11"/>
        <color theme="1"/>
        <rFont val="Calibri"/>
        <family val="2"/>
      </rPr>
      <t>²расч &lt; X²кр (1,36 &lt; 16,266), то нет оснований для отклонения нулевой гипотезы о нормальном законе распределения прочности на сжатие с параметрами X</t>
    </r>
    <r>
      <rPr>
        <sz val="11"/>
        <color theme="1"/>
        <rFont val="Calibri"/>
        <family val="2"/>
        <charset val="204"/>
      </rPr>
      <t>̅ = 221 и σ</t>
    </r>
    <r>
      <rPr>
        <sz val="11"/>
        <color theme="1"/>
        <rFont val="Calibri"/>
        <family val="2"/>
      </rPr>
      <t>²</t>
    </r>
    <r>
      <rPr>
        <sz val="6.05"/>
        <color theme="1"/>
        <rFont val="Calibri"/>
        <family val="2"/>
        <charset val="204"/>
      </rPr>
      <t xml:space="preserve">  </t>
    </r>
    <r>
      <rPr>
        <sz val="11"/>
        <color theme="1"/>
        <rFont val="Calibri"/>
        <family val="2"/>
      </rPr>
      <t>= 152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</si>
</sst>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11"/>
      <color theme="1"/>
      <name val="Calibri"/>
      <family val="2"/>
    </font>
    <font>
      <sz val="6.05"/>
      <color theme="1"/>
      <name val="Calibri"/>
      <family val="2"/>
      <charset val="204"/>
    </font>
    <font>
      <b/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4" fillId="2" borderId="1" applyNumberFormat="0" applyAlignment="0" applyProtection="0"/>
    <xf numFmtId="0" fontId="5" fillId="3" borderId="2" applyNumberFormat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3" borderId="2" xfId="2" applyAlignment="1">
      <alignment horizontal="center" vertical="center"/>
    </xf>
    <xf numFmtId="0" fontId="4" fillId="2" borderId="1" xfId="1" applyAlignment="1">
      <alignment horizontal="center" vertical="center" wrapText="1"/>
    </xf>
    <xf numFmtId="0" fontId="4" fillId="2" borderId="1" xfId="1" applyAlignment="1">
      <alignment horizontal="center" vertical="center"/>
    </xf>
    <xf numFmtId="0" fontId="0" fillId="0" borderId="0" xfId="0" applyAlignment="1">
      <alignment vertical="center" wrapText="1"/>
    </xf>
  </cellXfs>
  <cellStyles count="3">
    <cellStyle name="Вычисление" xfId="1" builtinId="22"/>
    <cellStyle name="Контрольная ячейка" xfId="2" builtinId="23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zoomScale="65" zoomScaleNormal="55" workbookViewId="0">
      <selection activeCell="E28" sqref="E28"/>
    </sheetView>
  </sheetViews>
  <sheetFormatPr defaultRowHeight="14.25" x14ac:dyDescent="0.45"/>
  <cols>
    <col min="1" max="2" width="19.19921875" style="1" customWidth="1"/>
    <col min="3" max="3" width="17.73046875" style="1" customWidth="1"/>
    <col min="4" max="4" width="14.9296875" style="1" customWidth="1"/>
    <col min="5" max="5" width="11.53125" style="1" customWidth="1"/>
    <col min="6" max="6" width="17.3984375" style="1" customWidth="1"/>
    <col min="7" max="8" width="9.06640625" style="1"/>
    <col min="9" max="9" width="12.9296875" style="1" customWidth="1"/>
    <col min="10" max="16384" width="9.06640625" style="1"/>
  </cols>
  <sheetData>
    <row r="1" spans="1:10" ht="28.5" x14ac:dyDescent="0.45">
      <c r="A1" s="7" t="s">
        <v>30</v>
      </c>
      <c r="B1" s="7" t="s">
        <v>6</v>
      </c>
      <c r="C1" s="7" t="s">
        <v>7</v>
      </c>
      <c r="E1" s="8" t="s">
        <v>11</v>
      </c>
      <c r="F1" s="8" t="s">
        <v>31</v>
      </c>
      <c r="H1" s="8" t="s">
        <v>25</v>
      </c>
      <c r="I1" s="8" t="s">
        <v>26</v>
      </c>
      <c r="J1" s="8" t="s">
        <v>8</v>
      </c>
    </row>
    <row r="2" spans="1:10" x14ac:dyDescent="0.45">
      <c r="A2" s="1" t="s">
        <v>0</v>
      </c>
      <c r="B2" s="1">
        <v>195</v>
      </c>
      <c r="C2" s="1">
        <v>10</v>
      </c>
      <c r="E2" s="1">
        <f>B2*C2</f>
        <v>1950</v>
      </c>
      <c r="F2" s="1">
        <f t="shared" ref="F2:F7" si="0">(B2-$B$10)^2*C2</f>
        <v>6760</v>
      </c>
      <c r="H2" s="1">
        <v>6</v>
      </c>
      <c r="I2" s="1">
        <v>2</v>
      </c>
      <c r="J2" s="1">
        <v>1E-3</v>
      </c>
    </row>
    <row r="3" spans="1:10" x14ac:dyDescent="0.45">
      <c r="A3" s="1" t="s">
        <v>1</v>
      </c>
      <c r="B3" s="1">
        <v>205</v>
      </c>
      <c r="C3" s="1">
        <v>26</v>
      </c>
      <c r="E3" s="1">
        <f t="shared" ref="E3:E7" si="1">B3*C3</f>
        <v>5330</v>
      </c>
      <c r="F3" s="1">
        <f t="shared" si="0"/>
        <v>6656</v>
      </c>
    </row>
    <row r="4" spans="1:10" x14ac:dyDescent="0.45">
      <c r="A4" s="1" t="s">
        <v>2</v>
      </c>
      <c r="B4" s="1">
        <v>215</v>
      </c>
      <c r="C4" s="1">
        <v>56</v>
      </c>
      <c r="E4" s="1">
        <f t="shared" si="1"/>
        <v>12040</v>
      </c>
      <c r="F4" s="1">
        <f t="shared" si="0"/>
        <v>2016</v>
      </c>
      <c r="H4" s="8" t="s">
        <v>27</v>
      </c>
      <c r="I4" s="1">
        <f>H2-I2-1</f>
        <v>3</v>
      </c>
    </row>
    <row r="5" spans="1:10" ht="14.65" thickBot="1" x14ac:dyDescent="0.5">
      <c r="A5" s="1" t="s">
        <v>3</v>
      </c>
      <c r="B5" s="1">
        <v>225</v>
      </c>
      <c r="C5" s="1">
        <v>64</v>
      </c>
      <c r="E5" s="1">
        <f t="shared" si="1"/>
        <v>14400</v>
      </c>
      <c r="F5" s="1">
        <f t="shared" si="0"/>
        <v>1024</v>
      </c>
    </row>
    <row r="6" spans="1:10" ht="15" thickTop="1" thickBot="1" x14ac:dyDescent="0.5">
      <c r="A6" s="1" t="s">
        <v>4</v>
      </c>
      <c r="B6" s="1">
        <v>235</v>
      </c>
      <c r="C6" s="1">
        <v>30</v>
      </c>
      <c r="E6" s="1">
        <f t="shared" si="1"/>
        <v>7050</v>
      </c>
      <c r="F6" s="1">
        <f t="shared" si="0"/>
        <v>5880</v>
      </c>
      <c r="I6" s="6" t="s">
        <v>29</v>
      </c>
    </row>
    <row r="7" spans="1:10" ht="14.65" thickTop="1" x14ac:dyDescent="0.45">
      <c r="A7" s="1" t="s">
        <v>5</v>
      </c>
      <c r="B7" s="1">
        <v>245</v>
      </c>
      <c r="C7" s="1">
        <v>14</v>
      </c>
      <c r="E7" s="1">
        <f t="shared" si="1"/>
        <v>3430</v>
      </c>
      <c r="F7" s="1">
        <f t="shared" si="0"/>
        <v>8064</v>
      </c>
    </row>
    <row r="8" spans="1:10" x14ac:dyDescent="0.45">
      <c r="C8" s="1">
        <f>SUM(C2:C7)</f>
        <v>200</v>
      </c>
    </row>
    <row r="10" spans="1:10" x14ac:dyDescent="0.45">
      <c r="A10" s="1" t="s">
        <v>9</v>
      </c>
      <c r="B10" s="1">
        <f>SUM(E2:E7)/C8</f>
        <v>221</v>
      </c>
      <c r="C10" s="1" t="s">
        <v>12</v>
      </c>
    </row>
    <row r="11" spans="1:10" x14ac:dyDescent="0.45">
      <c r="A11" s="2" t="s">
        <v>10</v>
      </c>
      <c r="B11" s="1">
        <f>SQRT(SUM(F2:F7)/C8)</f>
        <v>12.328828005937952</v>
      </c>
      <c r="C11" s="1" t="s">
        <v>12</v>
      </c>
      <c r="E11" s="2"/>
    </row>
    <row r="14" spans="1:10" ht="47.25" customHeight="1" x14ac:dyDescent="0.45">
      <c r="A14" s="7" t="s">
        <v>30</v>
      </c>
      <c r="B14" s="7" t="s">
        <v>22</v>
      </c>
      <c r="C14" s="7" t="s">
        <v>7</v>
      </c>
      <c r="D14" s="7" t="s">
        <v>14</v>
      </c>
      <c r="E14" s="8"/>
      <c r="F14" s="8" t="s">
        <v>21</v>
      </c>
      <c r="G14" s="8" t="s">
        <v>23</v>
      </c>
      <c r="H14" s="8" t="s">
        <v>32</v>
      </c>
      <c r="I14" s="8" t="s">
        <v>24</v>
      </c>
    </row>
    <row r="15" spans="1:10" x14ac:dyDescent="0.45">
      <c r="A15" s="1" t="s">
        <v>0</v>
      </c>
      <c r="B15" s="1">
        <v>190</v>
      </c>
      <c r="C15" s="1">
        <v>10</v>
      </c>
      <c r="D15" s="1" t="s">
        <v>16</v>
      </c>
      <c r="E15" s="4">
        <f>(B15-$B$10)/$B$11</f>
        <v>-2.5144320275268197</v>
      </c>
      <c r="F15" s="3">
        <f>-0.4554+0.5</f>
        <v>4.4599999999999973E-2</v>
      </c>
      <c r="G15" s="4">
        <f>$C$21*F15</f>
        <v>8.9199999999999946</v>
      </c>
      <c r="H15" s="1">
        <f>(C15-G15)^2</f>
        <v>1.1664000000000116</v>
      </c>
      <c r="I15" s="4">
        <f>H15/G15</f>
        <v>0.13076233183856642</v>
      </c>
    </row>
    <row r="16" spans="1:10" x14ac:dyDescent="0.45">
      <c r="A16" s="1" t="s">
        <v>1</v>
      </c>
      <c r="B16" s="1">
        <v>200</v>
      </c>
      <c r="C16" s="1">
        <v>26</v>
      </c>
      <c r="D16" s="1" t="s">
        <v>15</v>
      </c>
      <c r="E16" s="4">
        <f t="shared" ref="E16:E19" si="2">(B16-$B$10)/$B$11</f>
        <v>-1.7033249218730069</v>
      </c>
      <c r="F16" s="3">
        <f>-0.3133+0.4554</f>
        <v>0.1421</v>
      </c>
      <c r="G16" s="4">
        <f t="shared" ref="G16:G20" si="3">$C$21*F16</f>
        <v>28.42</v>
      </c>
      <c r="H16" s="1">
        <f t="shared" ref="H16:H20" si="4">(C16-G16)^2</f>
        <v>5.8564000000000078</v>
      </c>
      <c r="I16" s="4">
        <f t="shared" ref="I16:I20" si="5">H16/G16</f>
        <v>0.20606615059817057</v>
      </c>
    </row>
    <row r="17" spans="1:9" x14ac:dyDescent="0.45">
      <c r="A17" s="1" t="s">
        <v>2</v>
      </c>
      <c r="B17" s="1">
        <v>210</v>
      </c>
      <c r="C17" s="1">
        <v>56</v>
      </c>
      <c r="D17" s="1" t="s">
        <v>20</v>
      </c>
      <c r="E17" s="4">
        <f t="shared" si="2"/>
        <v>-0.89221781621919405</v>
      </c>
      <c r="F17" s="3">
        <f>-0.0319+0.3133</f>
        <v>0.28140000000000004</v>
      </c>
      <c r="G17" s="4">
        <f t="shared" si="3"/>
        <v>56.280000000000008</v>
      </c>
      <c r="H17" s="1">
        <f t="shared" si="4"/>
        <v>7.8400000000004619E-2</v>
      </c>
      <c r="I17" s="4">
        <f t="shared" si="5"/>
        <v>1.3930348258707286E-3</v>
      </c>
    </row>
    <row r="18" spans="1:9" x14ac:dyDescent="0.45">
      <c r="A18" s="1" t="s">
        <v>3</v>
      </c>
      <c r="B18" s="1">
        <v>220</v>
      </c>
      <c r="C18" s="1">
        <v>64</v>
      </c>
      <c r="D18" s="1" t="s">
        <v>17</v>
      </c>
      <c r="E18" s="4">
        <f t="shared" si="2"/>
        <v>-8.1110710565381272E-2</v>
      </c>
      <c r="F18" s="3">
        <f>0.2673+0.0319</f>
        <v>0.29919999999999997</v>
      </c>
      <c r="G18" s="4">
        <f t="shared" si="3"/>
        <v>59.839999999999996</v>
      </c>
      <c r="H18" s="1">
        <f t="shared" si="4"/>
        <v>17.30560000000003</v>
      </c>
      <c r="I18" s="4">
        <f t="shared" si="5"/>
        <v>0.28919786096256739</v>
      </c>
    </row>
    <row r="19" spans="1:9" x14ac:dyDescent="0.45">
      <c r="A19" s="1" t="s">
        <v>4</v>
      </c>
      <c r="B19" s="1">
        <v>230</v>
      </c>
      <c r="C19" s="1">
        <v>30</v>
      </c>
      <c r="D19" s="1" t="s">
        <v>18</v>
      </c>
      <c r="E19" s="4">
        <f t="shared" si="2"/>
        <v>0.7299963950884315</v>
      </c>
      <c r="F19" s="3">
        <f>0.4382-0.2673</f>
        <v>0.1709</v>
      </c>
      <c r="G19" s="4">
        <f t="shared" si="3"/>
        <v>34.18</v>
      </c>
      <c r="H19" s="1">
        <f t="shared" si="4"/>
        <v>17.472399999999997</v>
      </c>
      <c r="I19" s="4">
        <f t="shared" si="5"/>
        <v>0.51118782913984773</v>
      </c>
    </row>
    <row r="20" spans="1:9" x14ac:dyDescent="0.45">
      <c r="A20" s="1" t="s">
        <v>5</v>
      </c>
      <c r="B20" s="1">
        <v>240</v>
      </c>
      <c r="C20" s="1">
        <v>14</v>
      </c>
      <c r="D20" s="1" t="s">
        <v>19</v>
      </c>
      <c r="E20" s="4">
        <f>(B20-$B$10)/$B$11</f>
        <v>1.5411035007422442</v>
      </c>
      <c r="F20" s="3">
        <f>0.5-0.4382</f>
        <v>6.1800000000000022E-2</v>
      </c>
      <c r="G20" s="4">
        <f t="shared" si="3"/>
        <v>12.360000000000005</v>
      </c>
      <c r="H20" s="1">
        <f t="shared" si="4"/>
        <v>2.6895999999999844</v>
      </c>
      <c r="I20" s="4">
        <f t="shared" si="5"/>
        <v>0.21760517799352616</v>
      </c>
    </row>
    <row r="21" spans="1:9" x14ac:dyDescent="0.45">
      <c r="A21" s="8" t="s">
        <v>13</v>
      </c>
      <c r="C21" s="1">
        <f>SUM(C15:C20)</f>
        <v>200</v>
      </c>
      <c r="E21" s="4">
        <f>(250-$B$10)/$B$11</f>
        <v>2.3522106063960568</v>
      </c>
      <c r="F21" s="3">
        <f>SUM(F15:F20)</f>
        <v>1</v>
      </c>
      <c r="G21" s="1">
        <f>SUM(G15:G20)</f>
        <v>200.00000000000003</v>
      </c>
      <c r="I21" s="4">
        <f>SUM(I15:I20)</f>
        <v>1.356212385358549</v>
      </c>
    </row>
    <row r="22" spans="1:9" ht="14.65" thickBot="1" x14ac:dyDescent="0.5">
      <c r="F22" s="3"/>
    </row>
    <row r="23" spans="1:9" ht="15" thickTop="1" thickBot="1" x14ac:dyDescent="0.5">
      <c r="A23" s="8" t="s">
        <v>33</v>
      </c>
      <c r="B23" s="1">
        <f>B11^2</f>
        <v>151.99999999999997</v>
      </c>
      <c r="F23" s="3"/>
      <c r="I23" s="6" t="s">
        <v>28</v>
      </c>
    </row>
    <row r="24" spans="1:9" ht="14.65" thickTop="1" x14ac:dyDescent="0.45"/>
    <row r="25" spans="1:9" ht="46.15" customHeight="1" x14ac:dyDescent="0.45">
      <c r="A25" s="5" t="s">
        <v>34</v>
      </c>
      <c r="B25" s="5"/>
      <c r="C25" s="5"/>
      <c r="D25" s="5"/>
      <c r="E25" s="9"/>
      <c r="F25" s="9"/>
    </row>
  </sheetData>
  <mergeCells count="1">
    <mergeCell ref="A25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</dc:creator>
  <cp:lastModifiedBy>Мария Кочеткова</cp:lastModifiedBy>
  <dcterms:created xsi:type="dcterms:W3CDTF">2015-06-05T18:19:34Z</dcterms:created>
  <dcterms:modified xsi:type="dcterms:W3CDTF">2024-03-13T20:37:55Z</dcterms:modified>
</cp:coreProperties>
</file>
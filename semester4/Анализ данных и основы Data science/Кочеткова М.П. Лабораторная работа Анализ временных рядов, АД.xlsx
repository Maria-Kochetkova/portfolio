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9DB1ABCE-039C-46A7-9F61-2F909FCB149A}" xr6:coauthVersionLast="47" xr6:coauthVersionMax="47" xr10:uidLastSave="{00000000-0000-0000-0000-000000000000}"/>
  <bookViews>
    <workbookView xWindow="9368" yWindow="0" windowWidth="9615" windowHeight="11963" activeTab="2" xr2:uid="{00000000-000D-0000-FFFF-FFFF00000000}"/>
  </bookViews>
  <sheets>
    <sheet name="Задача1" sheetId="3" r:id="rId1"/>
    <sheet name="Задача2" sheetId="1" r:id="rId2"/>
    <sheet name="Задача3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3" l="1"/>
  <c r="G27" i="3"/>
  <c r="H25" i="3"/>
  <c r="G25" i="3"/>
  <c r="F25" i="3"/>
  <c r="E25" i="3"/>
  <c r="D25" i="3"/>
  <c r="H24" i="3"/>
  <c r="H23" i="3"/>
  <c r="H22" i="3"/>
  <c r="G23" i="3"/>
  <c r="G22" i="3"/>
  <c r="G24" i="3"/>
  <c r="F24" i="3"/>
  <c r="F23" i="3"/>
  <c r="F22" i="3"/>
  <c r="E24" i="3"/>
  <c r="E23" i="3"/>
  <c r="E22" i="3"/>
  <c r="F8" i="3"/>
  <c r="F7" i="3"/>
  <c r="F10" i="3" s="1"/>
  <c r="H14" i="3" s="1"/>
  <c r="F15" i="3" s="1"/>
  <c r="H15" i="3" s="1"/>
  <c r="F16" i="3" s="1"/>
  <c r="H16" i="3" s="1"/>
  <c r="J16" i="3" s="1"/>
  <c r="R47" i="2"/>
  <c r="R46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27" i="2"/>
  <c r="N53" i="2"/>
  <c r="N50" i="2"/>
  <c r="O47" i="2"/>
  <c r="P47" i="2"/>
  <c r="Q47" i="2"/>
  <c r="N47" i="2"/>
  <c r="P46" i="2"/>
  <c r="O46" i="2"/>
  <c r="Q46" i="2"/>
  <c r="N46" i="2"/>
  <c r="Q36" i="2"/>
  <c r="Q37" i="2"/>
  <c r="Q38" i="2"/>
  <c r="Q39" i="2"/>
  <c r="Q40" i="2"/>
  <c r="Q41" i="2"/>
  <c r="Q42" i="2"/>
  <c r="Q43" i="2"/>
  <c r="Q44" i="2"/>
  <c r="Q45" i="2"/>
  <c r="Q35" i="2"/>
  <c r="P45" i="2"/>
  <c r="P36" i="2"/>
  <c r="P37" i="2"/>
  <c r="P38" i="2"/>
  <c r="P39" i="2"/>
  <c r="P40" i="2"/>
  <c r="P41" i="2"/>
  <c r="P42" i="2"/>
  <c r="P43" i="2"/>
  <c r="P44" i="2"/>
  <c r="P28" i="2"/>
  <c r="P27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Q27" i="2"/>
  <c r="B51" i="2"/>
  <c r="B39" i="1"/>
  <c r="B36" i="1"/>
  <c r="B35" i="1"/>
  <c r="I46" i="2"/>
  <c r="I45" i="2"/>
  <c r="H46" i="2"/>
  <c r="H45" i="2"/>
  <c r="H28" i="2"/>
  <c r="F42" i="2"/>
  <c r="F28" i="2"/>
  <c r="B49" i="2"/>
  <c r="E29" i="2"/>
  <c r="E30" i="2"/>
  <c r="E31" i="2"/>
  <c r="E32" i="2"/>
  <c r="E33" i="2"/>
  <c r="E34" i="2"/>
  <c r="E35" i="2"/>
  <c r="E36" i="2"/>
  <c r="I36" i="2" s="1"/>
  <c r="E37" i="2"/>
  <c r="I37" i="2" s="1"/>
  <c r="E38" i="2"/>
  <c r="I38" i="2" s="1"/>
  <c r="E39" i="2"/>
  <c r="I39" i="2" s="1"/>
  <c r="E40" i="2"/>
  <c r="I40" i="2" s="1"/>
  <c r="E41" i="2"/>
  <c r="I41" i="2" s="1"/>
  <c r="E42" i="2"/>
  <c r="I42" i="2" s="1"/>
  <c r="E43" i="2"/>
  <c r="I43" i="2" s="1"/>
  <c r="E44" i="2"/>
  <c r="I44" i="2" s="1"/>
  <c r="E45" i="2"/>
  <c r="E28" i="2"/>
  <c r="D29" i="2"/>
  <c r="D30" i="2"/>
  <c r="D31" i="2"/>
  <c r="D32" i="2"/>
  <c r="H32" i="2" s="1"/>
  <c r="D33" i="2"/>
  <c r="D34" i="2"/>
  <c r="D35" i="2"/>
  <c r="D36" i="2"/>
  <c r="D37" i="2"/>
  <c r="D38" i="2"/>
  <c r="D39" i="2"/>
  <c r="D40" i="2"/>
  <c r="H40" i="2" s="1"/>
  <c r="D41" i="2"/>
  <c r="H41" i="2" s="1"/>
  <c r="D42" i="2"/>
  <c r="D43" i="2"/>
  <c r="D44" i="2"/>
  <c r="F44" i="2" s="1"/>
  <c r="D45" i="2"/>
  <c r="D28" i="2"/>
  <c r="B48" i="2"/>
  <c r="C46" i="2"/>
  <c r="B46" i="2"/>
  <c r="F36" i="2"/>
  <c r="F37" i="2"/>
  <c r="F38" i="2"/>
  <c r="F39" i="2"/>
  <c r="F40" i="2"/>
  <c r="F41" i="2"/>
  <c r="C36" i="2"/>
  <c r="C37" i="2"/>
  <c r="C38" i="2"/>
  <c r="C39" i="2"/>
  <c r="C40" i="2"/>
  <c r="C41" i="2"/>
  <c r="C42" i="2"/>
  <c r="C43" i="2"/>
  <c r="C44" i="2"/>
  <c r="C45" i="2"/>
  <c r="H39" i="2"/>
  <c r="H38" i="2"/>
  <c r="H37" i="2"/>
  <c r="H36" i="2"/>
  <c r="H35" i="2"/>
  <c r="C35" i="2"/>
  <c r="I35" i="2" s="1"/>
  <c r="H34" i="2"/>
  <c r="C34" i="2"/>
  <c r="I34" i="2" s="1"/>
  <c r="H33" i="2"/>
  <c r="C33" i="2"/>
  <c r="I33" i="2" s="1"/>
  <c r="C32" i="2"/>
  <c r="I32" i="2" s="1"/>
  <c r="H31" i="2"/>
  <c r="C31" i="2"/>
  <c r="I31" i="2" s="1"/>
  <c r="H30" i="2"/>
  <c r="C30" i="2"/>
  <c r="I30" i="2" s="1"/>
  <c r="H29" i="2"/>
  <c r="C29" i="2"/>
  <c r="I29" i="2" s="1"/>
  <c r="C28" i="2"/>
  <c r="I28" i="2" s="1"/>
  <c r="Q33" i="1"/>
  <c r="Q25" i="1"/>
  <c r="Q26" i="1"/>
  <c r="Q27" i="1"/>
  <c r="Q28" i="1"/>
  <c r="Q29" i="1"/>
  <c r="Q30" i="1"/>
  <c r="Q31" i="1"/>
  <c r="Q32" i="1"/>
  <c r="Q24" i="1"/>
  <c r="M39" i="1"/>
  <c r="M36" i="1"/>
  <c r="P34" i="1"/>
  <c r="O34" i="1"/>
  <c r="N34" i="1"/>
  <c r="M34" i="1"/>
  <c r="P33" i="1"/>
  <c r="P25" i="1"/>
  <c r="P26" i="1"/>
  <c r="P27" i="1"/>
  <c r="P28" i="1"/>
  <c r="P29" i="1"/>
  <c r="P30" i="1"/>
  <c r="P31" i="1"/>
  <c r="P32" i="1"/>
  <c r="P24" i="1"/>
  <c r="O33" i="1"/>
  <c r="O25" i="1"/>
  <c r="O26" i="1"/>
  <c r="O27" i="1"/>
  <c r="O28" i="1"/>
  <c r="O29" i="1"/>
  <c r="O30" i="1"/>
  <c r="O31" i="1"/>
  <c r="O32" i="1"/>
  <c r="O24" i="1"/>
  <c r="N33" i="1"/>
  <c r="M33" i="1"/>
  <c r="I33" i="1"/>
  <c r="H33" i="1"/>
  <c r="I26" i="1"/>
  <c r="I27" i="1"/>
  <c r="I28" i="1"/>
  <c r="I29" i="1"/>
  <c r="I30" i="1"/>
  <c r="I31" i="1"/>
  <c r="I32" i="1"/>
  <c r="I25" i="1"/>
  <c r="H26" i="1"/>
  <c r="H27" i="1"/>
  <c r="H28" i="1"/>
  <c r="H29" i="1"/>
  <c r="H30" i="1"/>
  <c r="H31" i="1"/>
  <c r="H32" i="1"/>
  <c r="H25" i="1"/>
  <c r="F33" i="1"/>
  <c r="F26" i="1"/>
  <c r="F27" i="1"/>
  <c r="F28" i="1"/>
  <c r="F29" i="1"/>
  <c r="F30" i="1"/>
  <c r="F31" i="1"/>
  <c r="F32" i="1"/>
  <c r="F25" i="1"/>
  <c r="E26" i="1"/>
  <c r="E27" i="1"/>
  <c r="E28" i="1"/>
  <c r="E29" i="1"/>
  <c r="E30" i="1"/>
  <c r="E31" i="1"/>
  <c r="E32" i="1"/>
  <c r="E25" i="1"/>
  <c r="D26" i="1"/>
  <c r="D27" i="1"/>
  <c r="D28" i="1"/>
  <c r="D29" i="1"/>
  <c r="D30" i="1"/>
  <c r="D31" i="1"/>
  <c r="D32" i="1"/>
  <c r="D25" i="1"/>
  <c r="C33" i="1"/>
  <c r="B33" i="1"/>
  <c r="C26" i="1"/>
  <c r="C27" i="1"/>
  <c r="C28" i="1"/>
  <c r="C29" i="1"/>
  <c r="C30" i="1"/>
  <c r="C31" i="1"/>
  <c r="C32" i="1"/>
  <c r="C25" i="1"/>
  <c r="J14" i="3" l="1"/>
  <c r="J15" i="3"/>
  <c r="D22" i="3" s="1" a="1"/>
  <c r="D22" i="3" s="1"/>
  <c r="F45" i="2"/>
  <c r="F43" i="2"/>
  <c r="H42" i="2"/>
  <c r="H43" i="2"/>
  <c r="H44" i="2"/>
  <c r="F31" i="2"/>
  <c r="F46" i="2"/>
  <c r="F32" i="2"/>
  <c r="F29" i="2"/>
  <c r="F33" i="2"/>
  <c r="F30" i="2"/>
  <c r="F34" i="2"/>
  <c r="F35" i="2"/>
  <c r="D23" i="3" l="1"/>
  <c r="D24" i="3"/>
</calcChain>
</file>

<file path=xl/sharedStrings.xml><?xml version="1.0" encoding="utf-8"?>
<sst xmlns="http://schemas.openxmlformats.org/spreadsheetml/2006/main" count="108" uniqueCount="60">
  <si>
    <t>год</t>
  </si>
  <si>
    <t>валовый сбор тыс. т</t>
  </si>
  <si>
    <t>t</t>
  </si>
  <si>
    <t>y</t>
  </si>
  <si>
    <t>Сумма</t>
  </si>
  <si>
    <t>1) построить график временного ряда</t>
  </si>
  <si>
    <t>2) рассчитать коэффициент автокорреляции первого порядка</t>
  </si>
  <si>
    <r>
      <t>y</t>
    </r>
    <r>
      <rPr>
        <sz val="11"/>
        <color theme="1"/>
        <rFont val="Calibri"/>
        <family val="2"/>
      </rPr>
      <t>ₜ₋₁</t>
    </r>
  </si>
  <si>
    <r>
      <t>y</t>
    </r>
    <r>
      <rPr>
        <sz val="11"/>
        <color theme="1"/>
        <rFont val="Calibri"/>
        <family val="2"/>
      </rPr>
      <t>ₜ - y̅₁</t>
    </r>
  </si>
  <si>
    <r>
      <t>yₜ₋₁ - y̅</t>
    </r>
    <r>
      <rPr>
        <sz val="11"/>
        <color theme="1"/>
        <rFont val="Calibri"/>
        <family val="2"/>
      </rPr>
      <t>₂</t>
    </r>
  </si>
  <si>
    <t>(yₜ - y̅₁)*(yₜ₋₁ - y̅₂)</t>
  </si>
  <si>
    <r>
      <t>(yₜ₋₁ - y̅₂)</t>
    </r>
    <r>
      <rPr>
        <sz val="11"/>
        <color theme="1"/>
        <rFont val="Calibri"/>
        <family val="2"/>
      </rPr>
      <t>²</t>
    </r>
  </si>
  <si>
    <r>
      <t>(yₜ - y̅₁)</t>
    </r>
    <r>
      <rPr>
        <sz val="11"/>
        <color theme="1"/>
        <rFont val="Calibri"/>
        <family val="2"/>
      </rPr>
      <t>²</t>
    </r>
  </si>
  <si>
    <t>-</t>
  </si>
  <si>
    <t>y̅₁ =</t>
  </si>
  <si>
    <t>y̅₂ =</t>
  </si>
  <si>
    <t>вспомогательная таблица 1</t>
  </si>
  <si>
    <t>3) рассчитать параметры a и b, используя метод наименьших квадратов</t>
  </si>
  <si>
    <t>вспомогательная таблица 2</t>
  </si>
  <si>
    <t>№п/п</t>
  </si>
  <si>
    <t>y*t</t>
  </si>
  <si>
    <r>
      <t>t</t>
    </r>
    <r>
      <rPr>
        <sz val="11"/>
        <color theme="1"/>
        <rFont val="Calibri"/>
        <family val="2"/>
      </rPr>
      <t>²</t>
    </r>
  </si>
  <si>
    <r>
      <t>y</t>
    </r>
    <r>
      <rPr>
        <sz val="11"/>
        <color theme="1"/>
        <rFont val="Calibri"/>
        <family val="2"/>
      </rPr>
      <t>ₜ</t>
    </r>
  </si>
  <si>
    <t>Сред. Знач</t>
  </si>
  <si>
    <t>b</t>
  </si>
  <si>
    <t>a</t>
  </si>
  <si>
    <t>Вывод:</t>
  </si>
  <si>
    <t>Таким образом, в среднем ежегодно валовый сбор винограда во всех
категориях хозяйств за 1992-2000 гг. снижался на 10,85 тыс. тонн</t>
  </si>
  <si>
    <t>Имеются данные о валовом сборе подсолнечника</t>
  </si>
  <si>
    <r>
      <t>r</t>
    </r>
    <r>
      <rPr>
        <sz val="11"/>
        <color theme="1"/>
        <rFont val="Calibri"/>
        <family val="2"/>
      </rPr>
      <t>₁  =</t>
    </r>
  </si>
  <si>
    <r>
      <t>r</t>
    </r>
    <r>
      <rPr>
        <sz val="11"/>
        <color theme="1"/>
        <rFont val="Calibri"/>
        <family val="2"/>
      </rPr>
      <t xml:space="preserve">₁ = </t>
    </r>
  </si>
  <si>
    <t>=&gt;</t>
  </si>
  <si>
    <t>Полученное значение коэффициента автокорреляции и графическое
изображение временного ряда позволяют сделать вывод о том, что ряд валового
сбора винограда содержит тенденцию, близкую к линейной. 
Поэтому для моделирования его тенденции используем линейную функцию  y = a + bt</t>
  </si>
  <si>
    <t>b=</t>
  </si>
  <si>
    <t>a=</t>
  </si>
  <si>
    <t>Таким образом, в среднем ежегодно валовый сбор подсолнечника во всех
категориях хозяйств за 1980-1998 гг. снижался на 0,39 тыс. тонн</t>
  </si>
  <si>
    <t>№</t>
  </si>
  <si>
    <t xml:space="preserve">№ предприятия </t>
  </si>
  <si>
    <t>Объем продукции, млн руб.</t>
  </si>
  <si>
    <t>Фонд заработной платы, млн руб.</t>
  </si>
  <si>
    <t>Xmax</t>
  </si>
  <si>
    <t>Xmin</t>
  </si>
  <si>
    <t>h</t>
  </si>
  <si>
    <t>Границы интервалов</t>
  </si>
  <si>
    <t>Нижняя граница</t>
  </si>
  <si>
    <t>Верхняя граница</t>
  </si>
  <si>
    <t>Всего</t>
  </si>
  <si>
    <t>Группы предприятий по объему выработанной продукции, млн.руб.</t>
  </si>
  <si>
    <t>Число предприятий</t>
  </si>
  <si>
    <t>Объем продукции, млн.руб.</t>
  </si>
  <si>
    <t>Фонд заработной платы, млн.руб.</t>
  </si>
  <si>
    <t>всего</t>
  </si>
  <si>
    <t>среднее</t>
  </si>
  <si>
    <t>106,5 - 205,4</t>
  </si>
  <si>
    <t>205,4 - 304,3</t>
  </si>
  <si>
    <t>304,3 - 403,2</t>
  </si>
  <si>
    <t>Результат аналитической группировки</t>
  </si>
  <si>
    <t>рост объема продукции</t>
  </si>
  <si>
    <t>рост фонда заработной платы</t>
  </si>
  <si>
    <t>Полученное значение коэффициента автокорреляции и графическое
изображение временного ряда позволяют сделать вывод о том, что ряд валового
сбора подсолнечника содержит тенденцию, близкую к линейной. 
Поэтому для моделирования его тенденции используем линейную функцию  y = a +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</si>
</sst>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3" borderId="6">
      <alignment horizontal="center" vertical="center"/>
    </xf>
    <xf numFmtId="0" fontId="4" fillId="4" borderId="6">
      <alignment horizontal="center" vertical="center"/>
    </xf>
    <xf numFmtId="0" fontId="4" fillId="5" borderId="6">
      <alignment horizontal="center" vertical="center"/>
    </xf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6" xfId="2">
      <alignment horizontal="center" vertical="center"/>
    </xf>
    <xf numFmtId="0" fontId="4" fillId="4" borderId="6" xfId="3">
      <alignment horizontal="center" vertical="center"/>
    </xf>
    <xf numFmtId="0" fontId="4" fillId="5" borderId="6" xfId="4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</cellXfs>
  <cellStyles count="5">
    <cellStyle name="Вычисление" xfId="1" builtinId="22"/>
    <cellStyle name="Обычный" xfId="0" builtinId="0"/>
    <cellStyle name="Стиль 1" xfId="2" xr:uid="{97CFCA9E-2DA5-4DD8-8BB4-126BF0E3FC97}"/>
    <cellStyle name="Стиль 2" xfId="3" xr:uid="{864FFD86-F7A0-4C5D-B5FA-F979FF3DCFF4}"/>
    <cellStyle name="Стиль 3" xfId="4" xr:uid="{F1DDAB1E-6EC3-4785-BD23-9B5F950C22F9}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</a:t>
            </a:r>
            <a:r>
              <a:rPr lang="ru-RU" sz="1400" b="0" i="0" u="none" strike="noStrike" baseline="0"/>
              <a:t>График временного ряда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Задача2!$B$1:$J$1</c:f>
              <c:numCache>
                <c:formatCode>General</c:formatCode>
                <c:ptCount val="9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</c:numCache>
            </c:numRef>
          </c:xVal>
          <c:yVal>
            <c:numRef>
              <c:f>Задача2!$B$2:$J$2</c:f>
              <c:numCache>
                <c:formatCode>General</c:formatCode>
                <c:ptCount val="9"/>
                <c:pt idx="0">
                  <c:v>246</c:v>
                </c:pt>
                <c:pt idx="1">
                  <c:v>229</c:v>
                </c:pt>
                <c:pt idx="2">
                  <c:v>152</c:v>
                </c:pt>
                <c:pt idx="3">
                  <c:v>155</c:v>
                </c:pt>
                <c:pt idx="4">
                  <c:v>190</c:v>
                </c:pt>
                <c:pt idx="5">
                  <c:v>160</c:v>
                </c:pt>
                <c:pt idx="6">
                  <c:v>107</c:v>
                </c:pt>
                <c:pt idx="7">
                  <c:v>155</c:v>
                </c:pt>
                <c:pt idx="8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9-4099-A4FF-C24F301D4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5520"/>
        <c:axId val="33542640"/>
      </c:scatterChart>
      <c:valAx>
        <c:axId val="33545520"/>
        <c:scaling>
          <c:orientation val="minMax"/>
          <c:max val="2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42640"/>
        <c:crosses val="autoZero"/>
        <c:crossBetween val="midCat"/>
      </c:valAx>
      <c:valAx>
        <c:axId val="33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54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График временного ряда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Задача3!$B$3:$T$3</c:f>
              <c:numCache>
                <c:formatCode>General</c:formatCode>
                <c:ptCount val="1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</c:numCache>
            </c:numRef>
          </c:xVal>
          <c:yVal>
            <c:numRef>
              <c:f>Задача3!$B$4:$T$4</c:f>
              <c:numCache>
                <c:formatCode>General</c:formatCode>
                <c:ptCount val="19"/>
                <c:pt idx="0">
                  <c:v>18.899999999999999</c:v>
                </c:pt>
                <c:pt idx="1">
                  <c:v>18.600000000000001</c:v>
                </c:pt>
                <c:pt idx="2">
                  <c:v>20.399999999999999</c:v>
                </c:pt>
                <c:pt idx="3">
                  <c:v>19.899999999999999</c:v>
                </c:pt>
                <c:pt idx="4">
                  <c:v>13.4</c:v>
                </c:pt>
                <c:pt idx="5">
                  <c:v>22.1</c:v>
                </c:pt>
                <c:pt idx="6">
                  <c:v>22.3</c:v>
                </c:pt>
                <c:pt idx="7">
                  <c:v>20.100000000000001</c:v>
                </c:pt>
                <c:pt idx="8">
                  <c:v>15.6</c:v>
                </c:pt>
                <c:pt idx="9">
                  <c:v>18.2</c:v>
                </c:pt>
                <c:pt idx="10">
                  <c:v>23.5</c:v>
                </c:pt>
                <c:pt idx="11">
                  <c:v>20.399999999999999</c:v>
                </c:pt>
                <c:pt idx="12">
                  <c:v>17.8</c:v>
                </c:pt>
                <c:pt idx="13">
                  <c:v>16.899999999999999</c:v>
                </c:pt>
                <c:pt idx="14">
                  <c:v>16</c:v>
                </c:pt>
                <c:pt idx="15">
                  <c:v>17.5</c:v>
                </c:pt>
                <c:pt idx="16">
                  <c:v>12.8</c:v>
                </c:pt>
                <c:pt idx="17">
                  <c:v>8.4</c:v>
                </c:pt>
                <c:pt idx="18">
                  <c:v>12.4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9B-4069-857E-6A4F00F23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71711"/>
        <c:axId val="618272671"/>
      </c:scatterChart>
      <c:valAx>
        <c:axId val="61827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272671"/>
        <c:crosses val="autoZero"/>
        <c:crossBetween val="midCat"/>
        <c:majorUnit val="1"/>
      </c:valAx>
      <c:valAx>
        <c:axId val="6182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27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102672</xdr:rowOff>
    </xdr:from>
    <xdr:to>
      <xdr:col>5</xdr:col>
      <xdr:colOff>131809</xdr:colOff>
      <xdr:row>18</xdr:row>
      <xdr:rowOff>61631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F5B482-574A-8E7E-D162-5F73AA745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180819</xdr:rowOff>
    </xdr:from>
    <xdr:to>
      <xdr:col>9</xdr:col>
      <xdr:colOff>115131</xdr:colOff>
      <xdr:row>22</xdr:row>
      <xdr:rowOff>55314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62590B-31BD-D63A-9826-4A3297B92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87CF-108E-48A5-9479-B2589CC8786F}">
  <dimension ref="A1:J46"/>
  <sheetViews>
    <sheetView topLeftCell="B9" zoomScale="88" workbookViewId="0">
      <selection activeCell="E30" sqref="E30"/>
    </sheetView>
  </sheetViews>
  <sheetFormatPr defaultRowHeight="14.25" x14ac:dyDescent="0.45"/>
  <cols>
    <col min="1" max="1" width="12.1328125" style="2" customWidth="1"/>
    <col min="2" max="2" width="13.19921875" style="2" customWidth="1"/>
    <col min="3" max="3" width="16.19921875" style="2" customWidth="1"/>
    <col min="4" max="4" width="12.3984375" style="2" customWidth="1"/>
    <col min="5" max="16384" width="9.06640625" style="2"/>
  </cols>
  <sheetData>
    <row r="1" spans="1:10" ht="42.75" x14ac:dyDescent="0.45">
      <c r="A1" s="4" t="s">
        <v>37</v>
      </c>
      <c r="B1" s="4" t="s">
        <v>38</v>
      </c>
      <c r="C1" s="4" t="s">
        <v>39</v>
      </c>
    </row>
    <row r="2" spans="1:10" x14ac:dyDescent="0.45">
      <c r="A2" s="2">
        <v>1</v>
      </c>
      <c r="B2" s="8">
        <v>124.8</v>
      </c>
      <c r="C2" s="2">
        <v>19.8</v>
      </c>
    </row>
    <row r="3" spans="1:10" x14ac:dyDescent="0.45">
      <c r="A3" s="2">
        <v>2</v>
      </c>
      <c r="B3" s="8">
        <v>256</v>
      </c>
      <c r="C3" s="2">
        <v>38.4</v>
      </c>
    </row>
    <row r="4" spans="1:10" x14ac:dyDescent="0.45">
      <c r="A4" s="2">
        <v>3</v>
      </c>
      <c r="B4" s="8">
        <v>190.7</v>
      </c>
      <c r="C4" s="2">
        <v>31.3</v>
      </c>
    </row>
    <row r="5" spans="1:10" x14ac:dyDescent="0.45">
      <c r="A5" s="2">
        <v>4</v>
      </c>
      <c r="B5" s="8">
        <v>185</v>
      </c>
      <c r="C5" s="2">
        <v>31.4</v>
      </c>
    </row>
    <row r="6" spans="1:10" x14ac:dyDescent="0.45">
      <c r="A6" s="2">
        <v>5</v>
      </c>
      <c r="B6" s="8">
        <v>403.2</v>
      </c>
      <c r="C6" s="2">
        <v>56.4</v>
      </c>
    </row>
    <row r="7" spans="1:10" x14ac:dyDescent="0.45">
      <c r="A7" s="2">
        <v>6</v>
      </c>
      <c r="B7" s="8">
        <v>115</v>
      </c>
      <c r="C7" s="2">
        <v>19.600000000000001</v>
      </c>
      <c r="E7" s="3" t="s">
        <v>40</v>
      </c>
      <c r="F7" s="8">
        <f>MAX(B2:B17)</f>
        <v>403.2</v>
      </c>
    </row>
    <row r="8" spans="1:10" x14ac:dyDescent="0.45">
      <c r="A8" s="2">
        <v>7</v>
      </c>
      <c r="B8" s="8">
        <v>106.5</v>
      </c>
      <c r="C8" s="2">
        <v>17.2</v>
      </c>
      <c r="E8" s="3" t="s">
        <v>41</v>
      </c>
      <c r="F8" s="8">
        <f>MIN(B2:B17)</f>
        <v>106.5</v>
      </c>
    </row>
    <row r="9" spans="1:10" x14ac:dyDescent="0.45">
      <c r="A9" s="2">
        <v>8</v>
      </c>
      <c r="B9" s="8">
        <v>350</v>
      </c>
      <c r="C9" s="2">
        <v>49.7</v>
      </c>
    </row>
    <row r="10" spans="1:10" x14ac:dyDescent="0.45">
      <c r="A10" s="2">
        <v>9</v>
      </c>
      <c r="B10" s="8">
        <v>110</v>
      </c>
      <c r="C10" s="2">
        <v>17.7</v>
      </c>
      <c r="E10" s="3" t="s">
        <v>42</v>
      </c>
      <c r="F10" s="2">
        <f>(F7-F8)/3</f>
        <v>98.899999999999991</v>
      </c>
    </row>
    <row r="11" spans="1:10" x14ac:dyDescent="0.45">
      <c r="A11" s="2">
        <v>10</v>
      </c>
      <c r="B11" s="8">
        <v>256.3</v>
      </c>
      <c r="C11" s="2">
        <v>40.9</v>
      </c>
    </row>
    <row r="12" spans="1:10" x14ac:dyDescent="0.45">
      <c r="A12" s="2">
        <v>11</v>
      </c>
      <c r="B12" s="8">
        <v>187.5</v>
      </c>
      <c r="C12" s="2">
        <v>30.7</v>
      </c>
      <c r="E12" s="23" t="s">
        <v>43</v>
      </c>
      <c r="F12" s="24"/>
      <c r="G12" s="24"/>
      <c r="H12" s="24"/>
      <c r="I12" s="25"/>
    </row>
    <row r="13" spans="1:10" x14ac:dyDescent="0.45">
      <c r="A13" s="2">
        <v>12</v>
      </c>
      <c r="B13" s="8">
        <v>140.80000000000001</v>
      </c>
      <c r="C13" s="2">
        <v>23.2</v>
      </c>
      <c r="E13" s="2" t="s">
        <v>36</v>
      </c>
      <c r="F13" s="19" t="s">
        <v>44</v>
      </c>
      <c r="G13" s="19"/>
      <c r="H13" s="19" t="s">
        <v>45</v>
      </c>
      <c r="I13" s="19"/>
    </row>
    <row r="14" spans="1:10" x14ac:dyDescent="0.45">
      <c r="A14" s="2">
        <v>13</v>
      </c>
      <c r="B14" s="8">
        <v>167.3</v>
      </c>
      <c r="C14" s="2">
        <v>27</v>
      </c>
      <c r="E14" s="2">
        <v>1</v>
      </c>
      <c r="F14" s="16">
        <v>106.5</v>
      </c>
      <c r="G14" s="16"/>
      <c r="H14" s="16">
        <f>F14+$F$10</f>
        <v>205.39999999999998</v>
      </c>
      <c r="I14" s="16"/>
      <c r="J14" s="2">
        <f>H14+0.001</f>
        <v>205.40099999999998</v>
      </c>
    </row>
    <row r="15" spans="1:10" x14ac:dyDescent="0.45">
      <c r="A15" s="2">
        <v>14</v>
      </c>
      <c r="B15" s="8">
        <v>208.2</v>
      </c>
      <c r="C15" s="2">
        <v>32.200000000000003</v>
      </c>
      <c r="E15" s="2">
        <v>2</v>
      </c>
      <c r="F15" s="16">
        <f>H14</f>
        <v>205.39999999999998</v>
      </c>
      <c r="G15" s="16"/>
      <c r="H15" s="16">
        <f>F15+$F$10</f>
        <v>304.29999999999995</v>
      </c>
      <c r="I15" s="16"/>
      <c r="J15" s="2">
        <f t="shared" ref="J15:J16" si="0">H15+0.001</f>
        <v>304.30099999999993</v>
      </c>
    </row>
    <row r="16" spans="1:10" x14ac:dyDescent="0.45">
      <c r="A16" s="2">
        <v>15</v>
      </c>
      <c r="B16" s="8">
        <v>135.4</v>
      </c>
      <c r="C16" s="2">
        <v>21.9</v>
      </c>
      <c r="E16" s="2">
        <v>3</v>
      </c>
      <c r="F16" s="16">
        <f>H15</f>
        <v>304.29999999999995</v>
      </c>
      <c r="G16" s="16"/>
      <c r="H16" s="16">
        <f>F16+$F$10</f>
        <v>403.19999999999993</v>
      </c>
      <c r="I16" s="16"/>
      <c r="J16" s="2">
        <f t="shared" si="0"/>
        <v>403.20099999999991</v>
      </c>
    </row>
    <row r="17" spans="1:8" x14ac:dyDescent="0.45">
      <c r="A17" s="2">
        <v>16</v>
      </c>
      <c r="B17" s="8">
        <v>370.2</v>
      </c>
      <c r="C17" s="2">
        <v>51.8</v>
      </c>
    </row>
    <row r="19" spans="1:8" x14ac:dyDescent="0.45">
      <c r="A19" s="15" t="s">
        <v>56</v>
      </c>
      <c r="B19" s="15"/>
      <c r="C19" s="15"/>
      <c r="D19" s="15"/>
    </row>
    <row r="20" spans="1:8" ht="26.65" customHeight="1" x14ac:dyDescent="0.45">
      <c r="A20" s="19" t="s">
        <v>36</v>
      </c>
      <c r="B20" s="20" t="s">
        <v>47</v>
      </c>
      <c r="C20" s="20"/>
      <c r="D20" s="22" t="s">
        <v>48</v>
      </c>
      <c r="E20" s="17" t="s">
        <v>49</v>
      </c>
      <c r="F20" s="17"/>
      <c r="G20" s="17" t="s">
        <v>50</v>
      </c>
      <c r="H20" s="16"/>
    </row>
    <row r="21" spans="1:8" ht="18" customHeight="1" x14ac:dyDescent="0.45">
      <c r="A21" s="16"/>
      <c r="B21" s="21"/>
      <c r="C21" s="21"/>
      <c r="D21" s="17"/>
      <c r="E21" s="2" t="s">
        <v>51</v>
      </c>
      <c r="F21" s="2" t="s">
        <v>52</v>
      </c>
      <c r="G21" s="2" t="s">
        <v>51</v>
      </c>
      <c r="H21" s="2" t="s">
        <v>52</v>
      </c>
    </row>
    <row r="22" spans="1:8" x14ac:dyDescent="0.45">
      <c r="A22" s="2">
        <v>1</v>
      </c>
      <c r="B22" s="16" t="s">
        <v>53</v>
      </c>
      <c r="C22" s="16"/>
      <c r="D22" s="2">
        <f t="array" ref="D22:D24">FREQUENCY(B2:B17,J14:J16)</f>
        <v>10</v>
      </c>
      <c r="E22" s="7">
        <f>SUM(B31:B40)</f>
        <v>1463</v>
      </c>
      <c r="F22" s="7">
        <f>AVERAGE(B31:B40)</f>
        <v>146.30000000000001</v>
      </c>
      <c r="G22" s="7">
        <f>SUM(C31:C40)</f>
        <v>239.79999999999998</v>
      </c>
      <c r="H22" s="7">
        <f>AVERAGE(C31:C40)</f>
        <v>23.979999999999997</v>
      </c>
    </row>
    <row r="23" spans="1:8" x14ac:dyDescent="0.45">
      <c r="A23" s="2">
        <v>2</v>
      </c>
      <c r="B23" s="16" t="s">
        <v>54</v>
      </c>
      <c r="C23" s="16"/>
      <c r="D23" s="2">
        <v>3</v>
      </c>
      <c r="E23" s="7">
        <f>SUM(B41:B43)</f>
        <v>720.5</v>
      </c>
      <c r="F23" s="7">
        <f>AVERAGE(B41:B43)</f>
        <v>240.16666666666666</v>
      </c>
      <c r="G23" s="7">
        <f>SUM(C41:C43)</f>
        <v>111.5</v>
      </c>
      <c r="H23" s="7">
        <f>AVERAGE(C41:C43)</f>
        <v>37.166666666666664</v>
      </c>
    </row>
    <row r="24" spans="1:8" x14ac:dyDescent="0.45">
      <c r="A24" s="2">
        <v>3</v>
      </c>
      <c r="B24" s="16" t="s">
        <v>55</v>
      </c>
      <c r="C24" s="16"/>
      <c r="D24" s="2">
        <v>3</v>
      </c>
      <c r="E24" s="7">
        <f>SUM(B44:B46)</f>
        <v>1123.4000000000001</v>
      </c>
      <c r="F24" s="7">
        <f>AVERAGE(B44:B46)</f>
        <v>374.4666666666667</v>
      </c>
      <c r="G24" s="7">
        <f>SUM(C44:C46)</f>
        <v>157.9</v>
      </c>
      <c r="H24" s="7">
        <f>AVERAGE(C44:C46)</f>
        <v>52.633333333333333</v>
      </c>
    </row>
    <row r="25" spans="1:8" x14ac:dyDescent="0.45">
      <c r="A25" s="2" t="s">
        <v>46</v>
      </c>
      <c r="D25" s="2">
        <f>SUM(D22:D24)</f>
        <v>16</v>
      </c>
      <c r="E25" s="7">
        <f>SUM(E22:E24)</f>
        <v>3306.9</v>
      </c>
      <c r="F25" s="7">
        <f>SUM(F22:F24)</f>
        <v>760.93333333333339</v>
      </c>
      <c r="G25" s="7">
        <f>SUM(G22:G24)</f>
        <v>509.19999999999993</v>
      </c>
      <c r="H25" s="7">
        <f>SUM(H22:H24)</f>
        <v>113.78</v>
      </c>
    </row>
    <row r="27" spans="1:8" x14ac:dyDescent="0.45">
      <c r="D27" s="15" t="s">
        <v>57</v>
      </c>
      <c r="E27" s="15"/>
      <c r="F27" s="15"/>
      <c r="G27" s="2">
        <f>F24/F22</f>
        <v>2.5595807701070861</v>
      </c>
    </row>
    <row r="28" spans="1:8" x14ac:dyDescent="0.45">
      <c r="D28" s="15" t="s">
        <v>58</v>
      </c>
      <c r="E28" s="15"/>
      <c r="F28" s="15"/>
      <c r="G28" s="2">
        <f>H24/H22</f>
        <v>2.194884626077287</v>
      </c>
    </row>
    <row r="30" spans="1:8" ht="42.75" x14ac:dyDescent="0.45">
      <c r="A30" s="4" t="s">
        <v>37</v>
      </c>
      <c r="B30" s="4" t="s">
        <v>38</v>
      </c>
      <c r="C30" s="4" t="s">
        <v>39</v>
      </c>
    </row>
    <row r="31" spans="1:8" x14ac:dyDescent="0.45">
      <c r="A31" s="11">
        <v>1</v>
      </c>
      <c r="B31" s="11">
        <v>106.5</v>
      </c>
      <c r="C31" s="11">
        <v>17.2</v>
      </c>
    </row>
    <row r="32" spans="1:8" x14ac:dyDescent="0.45">
      <c r="A32" s="11">
        <v>2</v>
      </c>
      <c r="B32" s="11">
        <v>110</v>
      </c>
      <c r="C32" s="11">
        <v>17.7</v>
      </c>
    </row>
    <row r="33" spans="1:3" x14ac:dyDescent="0.45">
      <c r="A33" s="11">
        <v>3</v>
      </c>
      <c r="B33" s="11">
        <v>115</v>
      </c>
      <c r="C33" s="11">
        <v>19.600000000000001</v>
      </c>
    </row>
    <row r="34" spans="1:3" x14ac:dyDescent="0.45">
      <c r="A34" s="11">
        <v>4</v>
      </c>
      <c r="B34" s="11">
        <v>124.8</v>
      </c>
      <c r="C34" s="11">
        <v>19.8</v>
      </c>
    </row>
    <row r="35" spans="1:3" x14ac:dyDescent="0.45">
      <c r="A35" s="11">
        <v>5</v>
      </c>
      <c r="B35" s="11">
        <v>135.4</v>
      </c>
      <c r="C35" s="11">
        <v>21.9</v>
      </c>
    </row>
    <row r="36" spans="1:3" x14ac:dyDescent="0.45">
      <c r="A36" s="11">
        <v>6</v>
      </c>
      <c r="B36" s="11">
        <v>140.80000000000001</v>
      </c>
      <c r="C36" s="11">
        <v>23.2</v>
      </c>
    </row>
    <row r="37" spans="1:3" x14ac:dyDescent="0.45">
      <c r="A37" s="11">
        <v>7</v>
      </c>
      <c r="B37" s="11">
        <v>167.3</v>
      </c>
      <c r="C37" s="11">
        <v>27</v>
      </c>
    </row>
    <row r="38" spans="1:3" x14ac:dyDescent="0.45">
      <c r="A38" s="11">
        <v>8</v>
      </c>
      <c r="B38" s="11">
        <v>185</v>
      </c>
      <c r="C38" s="11">
        <v>31.4</v>
      </c>
    </row>
    <row r="39" spans="1:3" x14ac:dyDescent="0.45">
      <c r="A39" s="11">
        <v>9</v>
      </c>
      <c r="B39" s="11">
        <v>187.5</v>
      </c>
      <c r="C39" s="11">
        <v>30.7</v>
      </c>
    </row>
    <row r="40" spans="1:3" x14ac:dyDescent="0.45">
      <c r="A40" s="11">
        <v>10</v>
      </c>
      <c r="B40" s="11">
        <v>190.7</v>
      </c>
      <c r="C40" s="11">
        <v>31.3</v>
      </c>
    </row>
    <row r="41" spans="1:3" x14ac:dyDescent="0.45">
      <c r="A41" s="12">
        <v>11</v>
      </c>
      <c r="B41" s="12">
        <v>208.2</v>
      </c>
      <c r="C41" s="12">
        <v>32.200000000000003</v>
      </c>
    </row>
    <row r="42" spans="1:3" x14ac:dyDescent="0.45">
      <c r="A42" s="12">
        <v>12</v>
      </c>
      <c r="B42" s="12">
        <v>256</v>
      </c>
      <c r="C42" s="12">
        <v>38.4</v>
      </c>
    </row>
    <row r="43" spans="1:3" x14ac:dyDescent="0.45">
      <c r="A43" s="12">
        <v>13</v>
      </c>
      <c r="B43" s="12">
        <v>256.3</v>
      </c>
      <c r="C43" s="12">
        <v>40.9</v>
      </c>
    </row>
    <row r="44" spans="1:3" x14ac:dyDescent="0.45">
      <c r="A44" s="13">
        <v>14</v>
      </c>
      <c r="B44" s="13">
        <v>350</v>
      </c>
      <c r="C44" s="13">
        <v>49.7</v>
      </c>
    </row>
    <row r="45" spans="1:3" x14ac:dyDescent="0.45">
      <c r="A45" s="13">
        <v>15</v>
      </c>
      <c r="B45" s="13">
        <v>370.2</v>
      </c>
      <c r="C45" s="13">
        <v>51.8</v>
      </c>
    </row>
    <row r="46" spans="1:3" x14ac:dyDescent="0.45">
      <c r="A46" s="13">
        <v>16</v>
      </c>
      <c r="B46" s="13">
        <v>403.2</v>
      </c>
      <c r="C46" s="13">
        <v>56.4</v>
      </c>
    </row>
  </sheetData>
  <mergeCells count="20">
    <mergeCell ref="D27:F27"/>
    <mergeCell ref="D28:F28"/>
    <mergeCell ref="B24:C24"/>
    <mergeCell ref="A20:A21"/>
    <mergeCell ref="B20:C21"/>
    <mergeCell ref="D20:D21"/>
    <mergeCell ref="E12:I12"/>
    <mergeCell ref="H13:I13"/>
    <mergeCell ref="F13:G13"/>
    <mergeCell ref="F14:G14"/>
    <mergeCell ref="F15:G15"/>
    <mergeCell ref="F16:G16"/>
    <mergeCell ref="H14:I14"/>
    <mergeCell ref="H15:I15"/>
    <mergeCell ref="H16:I16"/>
    <mergeCell ref="E20:F20"/>
    <mergeCell ref="G20:H20"/>
    <mergeCell ref="A19:D19"/>
    <mergeCell ref="B22:C22"/>
    <mergeCell ref="B23:C23"/>
  </mergeCells>
  <conditionalFormatting sqref="B41:B46">
    <cfRule type="cellIs" dxfId="0" priority="1" operator="lessThanOrEqual">
      <formula>205.4</formula>
    </cfRule>
    <cfRule type="cellIs" priority="2" operator="lessThanOrEqual">
      <formula>205.4</formula>
    </cfRule>
  </conditionalFormatting>
  <pageMargins left="0.7" right="0.7" top="0.75" bottom="0.75" header="0.3" footer="0.3"/>
  <ignoredErrors>
    <ignoredError sqref="E22:H2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zoomScale="86" workbookViewId="0">
      <selection activeCell="M36" sqref="M36"/>
    </sheetView>
  </sheetViews>
  <sheetFormatPr defaultColWidth="8.59765625" defaultRowHeight="14.25" x14ac:dyDescent="0.45"/>
  <cols>
    <col min="1" max="1" width="9.86328125" style="2" customWidth="1"/>
    <col min="2" max="11" width="8.59765625" style="2"/>
    <col min="12" max="12" width="9.796875" style="2" customWidth="1"/>
    <col min="13" max="13" width="9.46484375" style="2" customWidth="1"/>
    <col min="14" max="16384" width="8.59765625" style="2"/>
  </cols>
  <sheetData>
    <row r="1" spans="1:10" x14ac:dyDescent="0.45">
      <c r="A1" s="2" t="s">
        <v>0</v>
      </c>
      <c r="B1" s="2">
        <v>1992</v>
      </c>
      <c r="C1" s="2">
        <v>1993</v>
      </c>
      <c r="D1" s="2">
        <v>1994</v>
      </c>
      <c r="E1" s="2">
        <v>1995</v>
      </c>
      <c r="F1" s="2">
        <v>1996</v>
      </c>
      <c r="G1" s="2">
        <v>1997</v>
      </c>
      <c r="H1" s="2">
        <v>1998</v>
      </c>
      <c r="I1" s="2">
        <v>1999</v>
      </c>
      <c r="J1" s="2">
        <v>2000</v>
      </c>
    </row>
    <row r="2" spans="1:10" ht="28.5" x14ac:dyDescent="0.45">
      <c r="A2" s="1" t="s">
        <v>1</v>
      </c>
      <c r="B2" s="2">
        <v>246</v>
      </c>
      <c r="C2" s="2">
        <v>229</v>
      </c>
      <c r="D2" s="2">
        <v>152</v>
      </c>
      <c r="E2" s="2">
        <v>155</v>
      </c>
      <c r="F2" s="2">
        <v>190</v>
      </c>
      <c r="G2" s="2">
        <v>160</v>
      </c>
      <c r="H2" s="2">
        <v>107</v>
      </c>
      <c r="I2" s="2">
        <v>155</v>
      </c>
      <c r="J2" s="2">
        <v>160</v>
      </c>
    </row>
    <row r="3" spans="1:10" x14ac:dyDescent="0.45">
      <c r="A3" s="1"/>
    </row>
    <row r="4" spans="1:10" x14ac:dyDescent="0.45">
      <c r="A4" s="15" t="s">
        <v>5</v>
      </c>
      <c r="B4" s="15"/>
      <c r="C4" s="15"/>
      <c r="D4" s="15"/>
      <c r="E4" s="15"/>
      <c r="F4" s="15"/>
      <c r="G4" s="15"/>
    </row>
    <row r="5" spans="1:10" x14ac:dyDescent="0.45">
      <c r="A5" s="1"/>
    </row>
    <row r="6" spans="1:10" x14ac:dyDescent="0.45">
      <c r="A6" s="1"/>
    </row>
    <row r="7" spans="1:10" x14ac:dyDescent="0.45">
      <c r="A7" s="1"/>
    </row>
    <row r="8" spans="1:10" x14ac:dyDescent="0.45">
      <c r="A8" s="1"/>
    </row>
    <row r="9" spans="1:10" x14ac:dyDescent="0.45">
      <c r="A9" s="1"/>
    </row>
    <row r="10" spans="1:10" x14ac:dyDescent="0.45">
      <c r="A10" s="1"/>
    </row>
    <row r="11" spans="1:10" x14ac:dyDescent="0.45">
      <c r="A11" s="1"/>
    </row>
    <row r="12" spans="1:10" x14ac:dyDescent="0.45">
      <c r="A12" s="1"/>
    </row>
    <row r="13" spans="1:10" x14ac:dyDescent="0.45">
      <c r="A13" s="1"/>
    </row>
    <row r="14" spans="1:10" x14ac:dyDescent="0.45">
      <c r="A14" s="1"/>
    </row>
    <row r="15" spans="1:10" x14ac:dyDescent="0.45">
      <c r="A15" s="1"/>
    </row>
    <row r="16" spans="1:10" x14ac:dyDescent="0.45">
      <c r="A16" s="1"/>
    </row>
    <row r="17" spans="1:19" x14ac:dyDescent="0.45">
      <c r="A17" s="1"/>
    </row>
    <row r="18" spans="1:19" x14ac:dyDescent="0.45">
      <c r="A18" s="1"/>
    </row>
    <row r="19" spans="1:19" x14ac:dyDescent="0.45">
      <c r="A19" s="1"/>
    </row>
    <row r="20" spans="1:19" x14ac:dyDescent="0.45">
      <c r="A20" s="1"/>
    </row>
    <row r="21" spans="1:19" ht="14.25" customHeight="1" x14ac:dyDescent="0.45">
      <c r="A21" s="14" t="s">
        <v>6</v>
      </c>
      <c r="B21" s="14"/>
      <c r="C21" s="14"/>
      <c r="D21" s="14"/>
      <c r="E21" s="14"/>
      <c r="F21" s="14"/>
      <c r="G21" s="14"/>
      <c r="H21" s="14"/>
      <c r="L21" s="14" t="s">
        <v>17</v>
      </c>
      <c r="M21" s="14"/>
      <c r="N21" s="14"/>
      <c r="O21" s="14"/>
      <c r="P21" s="14"/>
      <c r="Q21" s="14"/>
      <c r="R21" s="14"/>
      <c r="S21" s="14"/>
    </row>
    <row r="22" spans="1:19" x14ac:dyDescent="0.45">
      <c r="A22" s="16" t="s">
        <v>16</v>
      </c>
      <c r="B22" s="16"/>
      <c r="C22" s="16"/>
      <c r="L22" s="16" t="s">
        <v>18</v>
      </c>
      <c r="M22" s="16"/>
      <c r="N22" s="16"/>
    </row>
    <row r="23" spans="1:19" x14ac:dyDescent="0.45">
      <c r="A23" s="2" t="s">
        <v>2</v>
      </c>
      <c r="B23" s="2" t="s">
        <v>3</v>
      </c>
      <c r="C23" s="2" t="s">
        <v>7</v>
      </c>
      <c r="D23" s="2" t="s">
        <v>8</v>
      </c>
      <c r="E23" s="2" t="s">
        <v>9</v>
      </c>
      <c r="F23" s="16" t="s">
        <v>10</v>
      </c>
      <c r="G23" s="16"/>
      <c r="H23" s="2" t="s">
        <v>12</v>
      </c>
      <c r="I23" s="2" t="s">
        <v>11</v>
      </c>
      <c r="L23" s="2" t="s">
        <v>19</v>
      </c>
      <c r="M23" s="2" t="s">
        <v>3</v>
      </c>
      <c r="N23" s="2" t="s">
        <v>2</v>
      </c>
      <c r="O23" s="2" t="s">
        <v>20</v>
      </c>
      <c r="P23" s="2" t="s">
        <v>21</v>
      </c>
      <c r="Q23" s="2" t="s">
        <v>22</v>
      </c>
    </row>
    <row r="24" spans="1:19" x14ac:dyDescent="0.45">
      <c r="A24" s="2">
        <v>1</v>
      </c>
      <c r="B24" s="2">
        <v>246</v>
      </c>
      <c r="C24" s="2" t="s">
        <v>13</v>
      </c>
      <c r="D24" s="2" t="s">
        <v>13</v>
      </c>
      <c r="E24" s="2" t="s">
        <v>13</v>
      </c>
      <c r="F24" s="16" t="s">
        <v>13</v>
      </c>
      <c r="G24" s="16"/>
      <c r="H24" s="2" t="s">
        <v>13</v>
      </c>
      <c r="I24" s="2" t="s">
        <v>13</v>
      </c>
      <c r="L24" s="2">
        <v>1</v>
      </c>
      <c r="M24" s="2">
        <v>246</v>
      </c>
      <c r="N24" s="2">
        <v>1</v>
      </c>
      <c r="O24" s="2">
        <f>M24*N24</f>
        <v>246</v>
      </c>
      <c r="P24" s="2">
        <f>N24^2</f>
        <v>1</v>
      </c>
      <c r="Q24" s="8">
        <f>$M$39+$M$36*N24</f>
        <v>216.06666666666661</v>
      </c>
    </row>
    <row r="25" spans="1:19" x14ac:dyDescent="0.45">
      <c r="A25" s="2">
        <v>2</v>
      </c>
      <c r="B25" s="2">
        <v>229</v>
      </c>
      <c r="C25" s="2">
        <f>B24</f>
        <v>246</v>
      </c>
      <c r="D25" s="2">
        <f>B25-$B$35</f>
        <v>65.5</v>
      </c>
      <c r="E25" s="2">
        <f>C25-$B$36</f>
        <v>71.75</v>
      </c>
      <c r="F25" s="16">
        <f>D25*E25</f>
        <v>4699.625</v>
      </c>
      <c r="G25" s="16"/>
      <c r="H25" s="2">
        <f>D25^2</f>
        <v>4290.25</v>
      </c>
      <c r="I25" s="2">
        <f>E25^2</f>
        <v>5148.0625</v>
      </c>
      <c r="L25" s="2">
        <v>2</v>
      </c>
      <c r="M25" s="2">
        <v>229</v>
      </c>
      <c r="N25" s="2">
        <v>2</v>
      </c>
      <c r="O25" s="2">
        <f t="shared" ref="O25:O32" si="0">M25*N25</f>
        <v>458</v>
      </c>
      <c r="P25" s="2">
        <f t="shared" ref="P25:P32" si="1">N25^2</f>
        <v>4</v>
      </c>
      <c r="Q25" s="8">
        <f t="shared" ref="Q25:Q32" si="2">$M$39+$M$36*N25</f>
        <v>205.21666666666664</v>
      </c>
    </row>
    <row r="26" spans="1:19" x14ac:dyDescent="0.45">
      <c r="A26" s="2">
        <v>3</v>
      </c>
      <c r="B26" s="2">
        <v>152</v>
      </c>
      <c r="C26" s="2">
        <f t="shared" ref="C26:C32" si="3">B25</f>
        <v>229</v>
      </c>
      <c r="D26" s="2">
        <f t="shared" ref="D26:D32" si="4">B26-$B$35</f>
        <v>-11.5</v>
      </c>
      <c r="E26" s="2">
        <f t="shared" ref="E26:E32" si="5">C26-$B$36</f>
        <v>54.75</v>
      </c>
      <c r="F26" s="16">
        <f t="shared" ref="F26:F32" si="6">D26*E26</f>
        <v>-629.625</v>
      </c>
      <c r="G26" s="16"/>
      <c r="H26" s="2">
        <f t="shared" ref="H26:H32" si="7">D26^2</f>
        <v>132.25</v>
      </c>
      <c r="I26" s="2">
        <f t="shared" ref="I26:I32" si="8">E26^2</f>
        <v>2997.5625</v>
      </c>
      <c r="L26" s="2">
        <v>3</v>
      </c>
      <c r="M26" s="2">
        <v>152</v>
      </c>
      <c r="N26" s="2">
        <v>3</v>
      </c>
      <c r="O26" s="2">
        <f t="shared" si="0"/>
        <v>456</v>
      </c>
      <c r="P26" s="2">
        <f t="shared" si="1"/>
        <v>9</v>
      </c>
      <c r="Q26" s="8">
        <f t="shared" si="2"/>
        <v>194.36666666666665</v>
      </c>
    </row>
    <row r="27" spans="1:19" x14ac:dyDescent="0.45">
      <c r="A27" s="2">
        <v>4</v>
      </c>
      <c r="B27" s="2">
        <v>155</v>
      </c>
      <c r="C27" s="2">
        <f t="shared" si="3"/>
        <v>152</v>
      </c>
      <c r="D27" s="2">
        <f t="shared" si="4"/>
        <v>-8.5</v>
      </c>
      <c r="E27" s="2">
        <f t="shared" si="5"/>
        <v>-22.25</v>
      </c>
      <c r="F27" s="16">
        <f t="shared" si="6"/>
        <v>189.125</v>
      </c>
      <c r="G27" s="16"/>
      <c r="H27" s="2">
        <f t="shared" si="7"/>
        <v>72.25</v>
      </c>
      <c r="I27" s="2">
        <f t="shared" si="8"/>
        <v>495.0625</v>
      </c>
      <c r="L27" s="2">
        <v>4</v>
      </c>
      <c r="M27" s="2">
        <v>155</v>
      </c>
      <c r="N27" s="2">
        <v>4</v>
      </c>
      <c r="O27" s="2">
        <f t="shared" si="0"/>
        <v>620</v>
      </c>
      <c r="P27" s="2">
        <f t="shared" si="1"/>
        <v>16</v>
      </c>
      <c r="Q27" s="8">
        <f t="shared" si="2"/>
        <v>183.51666666666665</v>
      </c>
    </row>
    <row r="28" spans="1:19" x14ac:dyDescent="0.45">
      <c r="A28" s="2">
        <v>5</v>
      </c>
      <c r="B28" s="2">
        <v>190</v>
      </c>
      <c r="C28" s="2">
        <f t="shared" si="3"/>
        <v>155</v>
      </c>
      <c r="D28" s="2">
        <f t="shared" si="4"/>
        <v>26.5</v>
      </c>
      <c r="E28" s="2">
        <f t="shared" si="5"/>
        <v>-19.25</v>
      </c>
      <c r="F28" s="16">
        <f t="shared" si="6"/>
        <v>-510.125</v>
      </c>
      <c r="G28" s="16"/>
      <c r="H28" s="2">
        <f t="shared" si="7"/>
        <v>702.25</v>
      </c>
      <c r="I28" s="2">
        <f t="shared" si="8"/>
        <v>370.5625</v>
      </c>
      <c r="L28" s="2">
        <v>5</v>
      </c>
      <c r="M28" s="2">
        <v>190</v>
      </c>
      <c r="N28" s="2">
        <v>5</v>
      </c>
      <c r="O28" s="2">
        <f t="shared" si="0"/>
        <v>950</v>
      </c>
      <c r="P28" s="2">
        <f t="shared" si="1"/>
        <v>25</v>
      </c>
      <c r="Q28" s="8">
        <f t="shared" si="2"/>
        <v>172.66666666666666</v>
      </c>
    </row>
    <row r="29" spans="1:19" x14ac:dyDescent="0.45">
      <c r="A29" s="2">
        <v>6</v>
      </c>
      <c r="B29" s="2">
        <v>160</v>
      </c>
      <c r="C29" s="2">
        <f t="shared" si="3"/>
        <v>190</v>
      </c>
      <c r="D29" s="2">
        <f t="shared" si="4"/>
        <v>-3.5</v>
      </c>
      <c r="E29" s="2">
        <f t="shared" si="5"/>
        <v>15.75</v>
      </c>
      <c r="F29" s="16">
        <f t="shared" si="6"/>
        <v>-55.125</v>
      </c>
      <c r="G29" s="16"/>
      <c r="H29" s="2">
        <f t="shared" si="7"/>
        <v>12.25</v>
      </c>
      <c r="I29" s="2">
        <f t="shared" si="8"/>
        <v>248.0625</v>
      </c>
      <c r="L29" s="2">
        <v>6</v>
      </c>
      <c r="M29" s="2">
        <v>160</v>
      </c>
      <c r="N29" s="2">
        <v>6</v>
      </c>
      <c r="O29" s="2">
        <f t="shared" si="0"/>
        <v>960</v>
      </c>
      <c r="P29" s="2">
        <f t="shared" si="1"/>
        <v>36</v>
      </c>
      <c r="Q29" s="8">
        <f t="shared" si="2"/>
        <v>161.81666666666666</v>
      </c>
    </row>
    <row r="30" spans="1:19" x14ac:dyDescent="0.45">
      <c r="A30" s="2">
        <v>7</v>
      </c>
      <c r="B30" s="2">
        <v>107</v>
      </c>
      <c r="C30" s="2">
        <f t="shared" si="3"/>
        <v>160</v>
      </c>
      <c r="D30" s="2">
        <f t="shared" si="4"/>
        <v>-56.5</v>
      </c>
      <c r="E30" s="2">
        <f t="shared" si="5"/>
        <v>-14.25</v>
      </c>
      <c r="F30" s="16">
        <f t="shared" si="6"/>
        <v>805.125</v>
      </c>
      <c r="G30" s="16"/>
      <c r="H30" s="2">
        <f t="shared" si="7"/>
        <v>3192.25</v>
      </c>
      <c r="I30" s="2">
        <f t="shared" si="8"/>
        <v>203.0625</v>
      </c>
      <c r="L30" s="2">
        <v>7</v>
      </c>
      <c r="M30" s="2">
        <v>107</v>
      </c>
      <c r="N30" s="2">
        <v>7</v>
      </c>
      <c r="O30" s="2">
        <f t="shared" si="0"/>
        <v>749</v>
      </c>
      <c r="P30" s="2">
        <f t="shared" si="1"/>
        <v>49</v>
      </c>
      <c r="Q30" s="8">
        <f t="shared" si="2"/>
        <v>150.9666666666667</v>
      </c>
    </row>
    <row r="31" spans="1:19" x14ac:dyDescent="0.45">
      <c r="A31" s="2">
        <v>8</v>
      </c>
      <c r="B31" s="2">
        <v>155</v>
      </c>
      <c r="C31" s="2">
        <f t="shared" si="3"/>
        <v>107</v>
      </c>
      <c r="D31" s="2">
        <f t="shared" si="4"/>
        <v>-8.5</v>
      </c>
      <c r="E31" s="2">
        <f t="shared" si="5"/>
        <v>-67.25</v>
      </c>
      <c r="F31" s="16">
        <f t="shared" si="6"/>
        <v>571.625</v>
      </c>
      <c r="G31" s="16"/>
      <c r="H31" s="2">
        <f t="shared" si="7"/>
        <v>72.25</v>
      </c>
      <c r="I31" s="2">
        <f t="shared" si="8"/>
        <v>4522.5625</v>
      </c>
      <c r="L31" s="2">
        <v>8</v>
      </c>
      <c r="M31" s="2">
        <v>155</v>
      </c>
      <c r="N31" s="2">
        <v>8</v>
      </c>
      <c r="O31" s="2">
        <f t="shared" si="0"/>
        <v>1240</v>
      </c>
      <c r="P31" s="2">
        <f t="shared" si="1"/>
        <v>64</v>
      </c>
      <c r="Q31" s="8">
        <f t="shared" si="2"/>
        <v>140.1166666666667</v>
      </c>
    </row>
    <row r="32" spans="1:19" x14ac:dyDescent="0.45">
      <c r="A32" s="2">
        <v>9</v>
      </c>
      <c r="B32" s="2">
        <v>160</v>
      </c>
      <c r="C32" s="2">
        <f t="shared" si="3"/>
        <v>155</v>
      </c>
      <c r="D32" s="2">
        <f t="shared" si="4"/>
        <v>-3.5</v>
      </c>
      <c r="E32" s="2">
        <f t="shared" si="5"/>
        <v>-19.25</v>
      </c>
      <c r="F32" s="16">
        <f t="shared" si="6"/>
        <v>67.375</v>
      </c>
      <c r="G32" s="16"/>
      <c r="H32" s="2">
        <f t="shared" si="7"/>
        <v>12.25</v>
      </c>
      <c r="I32" s="2">
        <f t="shared" si="8"/>
        <v>370.5625</v>
      </c>
      <c r="L32" s="2">
        <v>9</v>
      </c>
      <c r="M32" s="2">
        <v>160</v>
      </c>
      <c r="N32" s="2">
        <v>9</v>
      </c>
      <c r="O32" s="2">
        <f t="shared" si="0"/>
        <v>1440</v>
      </c>
      <c r="P32" s="2">
        <f t="shared" si="1"/>
        <v>81</v>
      </c>
      <c r="Q32" s="8">
        <f t="shared" si="2"/>
        <v>129.26666666666671</v>
      </c>
    </row>
    <row r="33" spans="1:19" x14ac:dyDescent="0.45">
      <c r="A33" s="2" t="s">
        <v>4</v>
      </c>
      <c r="B33" s="2">
        <f>SUM(B24:B32)</f>
        <v>1554</v>
      </c>
      <c r="C33" s="2">
        <f>SUM(C25:C32)</f>
        <v>1394</v>
      </c>
      <c r="F33" s="16">
        <f>SUM(F25:G32)</f>
        <v>5138</v>
      </c>
      <c r="G33" s="16"/>
      <c r="H33" s="2">
        <f>SUM(H25:H32)</f>
        <v>8486</v>
      </c>
      <c r="I33" s="2">
        <f>SUM(I25:I32)</f>
        <v>14355.5</v>
      </c>
      <c r="L33" s="2" t="s">
        <v>4</v>
      </c>
      <c r="M33" s="2">
        <f>SUM(M24:M32)</f>
        <v>1554</v>
      </c>
      <c r="N33" s="2">
        <f>SUM(N24:N32)</f>
        <v>45</v>
      </c>
      <c r="O33" s="2">
        <f>SUM(O24:O32)</f>
        <v>7119</v>
      </c>
      <c r="P33" s="2">
        <f>SUM(P24:P32)</f>
        <v>285</v>
      </c>
      <c r="Q33" s="8">
        <f>SUM(Q24:Q32)</f>
        <v>1554</v>
      </c>
    </row>
    <row r="34" spans="1:19" x14ac:dyDescent="0.45">
      <c r="L34" s="2" t="s">
        <v>23</v>
      </c>
      <c r="M34" s="2">
        <f>AVERAGE(M24:M32)</f>
        <v>172.66666666666666</v>
      </c>
      <c r="N34" s="2">
        <f>AVERAGE(N24:N32)</f>
        <v>5</v>
      </c>
      <c r="O34" s="2">
        <f>AVERAGE(O24:O32)</f>
        <v>791</v>
      </c>
      <c r="P34" s="2">
        <f>AVERAGE(P24:P32)</f>
        <v>31.666666666666668</v>
      </c>
    </row>
    <row r="35" spans="1:19" x14ac:dyDescent="0.45">
      <c r="A35" s="2" t="s">
        <v>14</v>
      </c>
      <c r="B35" s="2">
        <f>(B33-B24)/(A32-1)</f>
        <v>163.5</v>
      </c>
    </row>
    <row r="36" spans="1:19" x14ac:dyDescent="0.45">
      <c r="A36" s="2" t="s">
        <v>15</v>
      </c>
      <c r="B36" s="2">
        <f>C33/(A32-1)</f>
        <v>174.25</v>
      </c>
      <c r="L36" s="2" t="s">
        <v>24</v>
      </c>
      <c r="M36" s="2">
        <f>(O34-M34*N34)/(P34-N34^2)</f>
        <v>-10.849999999999987</v>
      </c>
    </row>
    <row r="39" spans="1:19" x14ac:dyDescent="0.45">
      <c r="A39" s="2" t="s">
        <v>30</v>
      </c>
      <c r="B39" s="2">
        <f>F33/SQRT(H33*I33)</f>
        <v>0.46551472657902798</v>
      </c>
      <c r="C39" s="9" t="s">
        <v>31</v>
      </c>
      <c r="D39" s="17" t="s">
        <v>32</v>
      </c>
      <c r="E39" s="16"/>
      <c r="F39" s="16"/>
      <c r="G39" s="16"/>
      <c r="H39" s="16"/>
      <c r="I39" s="16"/>
      <c r="L39" s="2" t="s">
        <v>25</v>
      </c>
      <c r="M39" s="2">
        <f>M34-M36*N34</f>
        <v>226.9166666666666</v>
      </c>
    </row>
    <row r="40" spans="1:19" x14ac:dyDescent="0.45">
      <c r="D40" s="16"/>
      <c r="E40" s="16"/>
      <c r="F40" s="16"/>
      <c r="G40" s="16"/>
      <c r="H40" s="16"/>
      <c r="I40" s="16"/>
    </row>
    <row r="41" spans="1:19" x14ac:dyDescent="0.45">
      <c r="D41" s="16"/>
      <c r="E41" s="16"/>
      <c r="F41" s="16"/>
      <c r="G41" s="16"/>
      <c r="H41" s="16"/>
      <c r="I41" s="16"/>
    </row>
    <row r="42" spans="1:19" ht="14.25" customHeight="1" x14ac:dyDescent="0.45">
      <c r="D42" s="16"/>
      <c r="E42" s="16"/>
      <c r="F42" s="16"/>
      <c r="G42" s="16"/>
      <c r="H42" s="16"/>
      <c r="I42" s="16"/>
      <c r="L42" s="2" t="s">
        <v>26</v>
      </c>
      <c r="M42" s="17" t="s">
        <v>27</v>
      </c>
      <c r="N42" s="17"/>
      <c r="O42" s="17"/>
      <c r="P42" s="17"/>
      <c r="Q42" s="17"/>
      <c r="R42" s="17"/>
      <c r="S42" s="17"/>
    </row>
    <row r="43" spans="1:19" x14ac:dyDescent="0.45">
      <c r="D43" s="16"/>
      <c r="E43" s="16"/>
      <c r="F43" s="16"/>
      <c r="G43" s="16"/>
      <c r="H43" s="16"/>
      <c r="I43" s="16"/>
      <c r="M43" s="17"/>
      <c r="N43" s="17"/>
      <c r="O43" s="17"/>
      <c r="P43" s="17"/>
      <c r="Q43" s="17"/>
      <c r="R43" s="17"/>
      <c r="S43" s="17"/>
    </row>
    <row r="44" spans="1:19" x14ac:dyDescent="0.45">
      <c r="D44" s="16"/>
      <c r="E44" s="16"/>
      <c r="F44" s="16"/>
      <c r="G44" s="16"/>
      <c r="H44" s="16"/>
      <c r="I44" s="16"/>
    </row>
    <row r="45" spans="1:19" x14ac:dyDescent="0.45">
      <c r="D45" s="16"/>
      <c r="E45" s="16"/>
      <c r="F45" s="16"/>
      <c r="G45" s="16"/>
      <c r="H45" s="16"/>
      <c r="I45" s="16"/>
    </row>
    <row r="46" spans="1:19" x14ac:dyDescent="0.45">
      <c r="D46" s="16"/>
      <c r="E46" s="16"/>
      <c r="F46" s="16"/>
      <c r="G46" s="16"/>
      <c r="H46" s="16"/>
      <c r="I46" s="16"/>
    </row>
    <row r="47" spans="1:19" x14ac:dyDescent="0.45">
      <c r="D47" s="16"/>
      <c r="E47" s="16"/>
      <c r="F47" s="16"/>
      <c r="G47" s="16"/>
      <c r="H47" s="16"/>
      <c r="I47" s="16"/>
    </row>
  </sheetData>
  <mergeCells count="18">
    <mergeCell ref="M42:S43"/>
    <mergeCell ref="D39:I47"/>
    <mergeCell ref="F26:G26"/>
    <mergeCell ref="A22:C22"/>
    <mergeCell ref="L22:N22"/>
    <mergeCell ref="F25:G25"/>
    <mergeCell ref="F33:G33"/>
    <mergeCell ref="F27:G27"/>
    <mergeCell ref="F28:G28"/>
    <mergeCell ref="F29:G29"/>
    <mergeCell ref="F30:G30"/>
    <mergeCell ref="F31:G31"/>
    <mergeCell ref="F32:G32"/>
    <mergeCell ref="L21:S21"/>
    <mergeCell ref="A4:G4"/>
    <mergeCell ref="A21:H21"/>
    <mergeCell ref="F23:G23"/>
    <mergeCell ref="F24:G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B3EF-D8A7-4F94-BCA2-3D96721D49BD}">
  <dimension ref="A1:U59"/>
  <sheetViews>
    <sheetView tabSelected="1" topLeftCell="K27" zoomScale="80" zoomScaleNormal="80" workbookViewId="0">
      <selection activeCell="A5" sqref="A5"/>
    </sheetView>
  </sheetViews>
  <sheetFormatPr defaultColWidth="8.59765625" defaultRowHeight="14.25" x14ac:dyDescent="0.45"/>
  <cols>
    <col min="1" max="1" width="10.3984375" style="2" customWidth="1"/>
    <col min="2" max="3" width="8.59765625" style="2"/>
    <col min="4" max="5" width="8.6640625" style="2" bestFit="1" customWidth="1"/>
    <col min="6" max="7" width="8.59765625" style="2"/>
    <col min="8" max="9" width="9.19921875" style="2" bestFit="1" customWidth="1"/>
    <col min="10" max="12" width="8.59765625" style="2"/>
    <col min="13" max="13" width="9.46484375" style="2" customWidth="1"/>
    <col min="14" max="16384" width="8.59765625" style="2"/>
  </cols>
  <sheetData>
    <row r="1" spans="1:20" x14ac:dyDescent="0.45">
      <c r="A1" s="16" t="s">
        <v>28</v>
      </c>
      <c r="B1" s="16"/>
      <c r="C1" s="16"/>
      <c r="D1" s="16"/>
      <c r="E1" s="16"/>
    </row>
    <row r="3" spans="1:20" x14ac:dyDescent="0.45">
      <c r="A3" s="2" t="s">
        <v>0</v>
      </c>
      <c r="B3" s="2">
        <v>1980</v>
      </c>
      <c r="C3" s="2">
        <v>1981</v>
      </c>
      <c r="D3" s="2">
        <v>1982</v>
      </c>
      <c r="E3" s="2">
        <v>1983</v>
      </c>
      <c r="F3" s="2">
        <v>1984</v>
      </c>
      <c r="G3" s="2">
        <v>1985</v>
      </c>
      <c r="H3" s="2">
        <v>1986</v>
      </c>
      <c r="I3" s="2">
        <v>1987</v>
      </c>
      <c r="J3" s="2">
        <v>1988</v>
      </c>
      <c r="K3" s="2">
        <v>1989</v>
      </c>
      <c r="L3" s="2">
        <v>1990</v>
      </c>
      <c r="M3" s="2">
        <v>1991</v>
      </c>
      <c r="N3" s="2">
        <v>1992</v>
      </c>
      <c r="O3" s="2">
        <v>1993</v>
      </c>
      <c r="P3" s="2">
        <v>1994</v>
      </c>
      <c r="Q3" s="2">
        <v>1995</v>
      </c>
      <c r="R3" s="2">
        <v>1996</v>
      </c>
      <c r="S3" s="2">
        <v>1997</v>
      </c>
      <c r="T3" s="2">
        <v>1998</v>
      </c>
    </row>
    <row r="4" spans="1:20" ht="28.5" x14ac:dyDescent="0.45">
      <c r="A4" s="1" t="s">
        <v>1</v>
      </c>
      <c r="B4" s="2">
        <v>18.899999999999999</v>
      </c>
      <c r="C4" s="2">
        <v>18.600000000000001</v>
      </c>
      <c r="D4" s="2">
        <v>20.399999999999999</v>
      </c>
      <c r="E4" s="2">
        <v>19.899999999999999</v>
      </c>
      <c r="F4" s="2">
        <v>13.4</v>
      </c>
      <c r="G4" s="2">
        <v>22.1</v>
      </c>
      <c r="H4" s="2">
        <v>22.3</v>
      </c>
      <c r="I4" s="2">
        <v>20.100000000000001</v>
      </c>
      <c r="J4" s="2">
        <v>15.6</v>
      </c>
      <c r="K4" s="2">
        <v>18.2</v>
      </c>
      <c r="L4" s="2">
        <v>23.5</v>
      </c>
      <c r="M4" s="2">
        <v>20.399999999999999</v>
      </c>
      <c r="N4" s="2">
        <v>17.8</v>
      </c>
      <c r="O4" s="2">
        <v>16.899999999999999</v>
      </c>
      <c r="P4" s="2">
        <v>16</v>
      </c>
      <c r="Q4" s="2">
        <v>17.5</v>
      </c>
      <c r="R4" s="2">
        <v>12.8</v>
      </c>
      <c r="S4" s="2">
        <v>8.4</v>
      </c>
      <c r="T4" s="2">
        <v>12.4</v>
      </c>
    </row>
    <row r="6" spans="1:20" x14ac:dyDescent="0.45">
      <c r="A6" s="15" t="s">
        <v>5</v>
      </c>
      <c r="B6" s="15"/>
      <c r="C6" s="15"/>
      <c r="D6" s="15"/>
      <c r="E6" s="15"/>
      <c r="F6" s="15"/>
      <c r="G6" s="15"/>
    </row>
    <row r="24" spans="1:20" x14ac:dyDescent="0.45">
      <c r="A24" s="14" t="s">
        <v>6</v>
      </c>
      <c r="B24" s="14"/>
      <c r="C24" s="14"/>
      <c r="D24" s="14"/>
      <c r="E24" s="14"/>
      <c r="F24" s="14"/>
      <c r="G24" s="14"/>
      <c r="H24" s="14"/>
      <c r="M24" s="14" t="s">
        <v>17</v>
      </c>
      <c r="N24" s="14"/>
      <c r="O24" s="14"/>
      <c r="P24" s="14"/>
      <c r="Q24" s="14"/>
      <c r="R24" s="14"/>
      <c r="S24" s="14"/>
      <c r="T24" s="14"/>
    </row>
    <row r="25" spans="1:20" x14ac:dyDescent="0.45">
      <c r="A25" s="16" t="s">
        <v>16</v>
      </c>
      <c r="B25" s="16"/>
      <c r="C25" s="16"/>
      <c r="M25" s="16" t="s">
        <v>18</v>
      </c>
      <c r="N25" s="16"/>
      <c r="O25" s="16"/>
    </row>
    <row r="26" spans="1:20" x14ac:dyDescent="0.45">
      <c r="A26" s="2" t="s">
        <v>2</v>
      </c>
      <c r="B26" s="2" t="s">
        <v>3</v>
      </c>
      <c r="C26" s="2" t="s">
        <v>7</v>
      </c>
      <c r="D26" s="2" t="s">
        <v>8</v>
      </c>
      <c r="E26" s="2" t="s">
        <v>9</v>
      </c>
      <c r="F26" s="16" t="s">
        <v>10</v>
      </c>
      <c r="G26" s="16"/>
      <c r="H26" s="2" t="s">
        <v>12</v>
      </c>
      <c r="I26" s="2" t="s">
        <v>11</v>
      </c>
      <c r="M26" s="2" t="s">
        <v>19</v>
      </c>
      <c r="N26" s="2" t="s">
        <v>3</v>
      </c>
      <c r="O26" s="2" t="s">
        <v>2</v>
      </c>
      <c r="P26" s="2" t="s">
        <v>20</v>
      </c>
      <c r="Q26" s="2" t="s">
        <v>21</v>
      </c>
      <c r="R26" s="2" t="s">
        <v>22</v>
      </c>
    </row>
    <row r="27" spans="1:20" x14ac:dyDescent="0.45">
      <c r="A27" s="2">
        <v>1</v>
      </c>
      <c r="B27" s="2">
        <v>18.899999999999999</v>
      </c>
      <c r="C27" s="2" t="s">
        <v>13</v>
      </c>
      <c r="D27" s="2" t="s">
        <v>13</v>
      </c>
      <c r="E27" s="2" t="s">
        <v>13</v>
      </c>
      <c r="F27" s="16" t="s">
        <v>13</v>
      </c>
      <c r="G27" s="16"/>
      <c r="H27" s="2" t="s">
        <v>13</v>
      </c>
      <c r="I27" s="2" t="s">
        <v>13</v>
      </c>
      <c r="M27" s="2">
        <v>1</v>
      </c>
      <c r="N27" s="2">
        <v>18.899999999999999</v>
      </c>
      <c r="O27" s="2">
        <v>1</v>
      </c>
      <c r="P27" s="2">
        <f>N27*O27</f>
        <v>18.899999999999999</v>
      </c>
      <c r="Q27" s="2">
        <f>O27^2</f>
        <v>1</v>
      </c>
      <c r="R27" s="8">
        <f>$N$53+$N$50*O27</f>
        <v>21.123684210526314</v>
      </c>
    </row>
    <row r="28" spans="1:20" x14ac:dyDescent="0.45">
      <c r="A28" s="2">
        <v>2</v>
      </c>
      <c r="B28" s="2">
        <v>18.600000000000001</v>
      </c>
      <c r="C28" s="2">
        <f>B27</f>
        <v>18.899999999999999</v>
      </c>
      <c r="D28" s="7">
        <f>B28-$B$48</f>
        <v>1.0277777777777786</v>
      </c>
      <c r="E28" s="7">
        <f>C28-$B$49</f>
        <v>0.96666666666666501</v>
      </c>
      <c r="F28" s="18">
        <f>D28*E28</f>
        <v>0.99351851851851758</v>
      </c>
      <c r="G28" s="18"/>
      <c r="H28" s="7">
        <f>D28^2</f>
        <v>1.0563271604938287</v>
      </c>
      <c r="I28" s="7">
        <f>E28^2</f>
        <v>0.93444444444444119</v>
      </c>
      <c r="M28" s="2">
        <v>2</v>
      </c>
      <c r="N28" s="2">
        <v>18.600000000000001</v>
      </c>
      <c r="O28" s="2">
        <v>2</v>
      </c>
      <c r="P28" s="2">
        <f>N28*O28</f>
        <v>37.200000000000003</v>
      </c>
      <c r="Q28" s="2">
        <f t="shared" ref="Q28:Q34" si="0">O28^2</f>
        <v>4</v>
      </c>
      <c r="R28" s="8">
        <f t="shared" ref="R28:R45" si="1">$N$53+$N$50*O28</f>
        <v>20.736842105263158</v>
      </c>
    </row>
    <row r="29" spans="1:20" x14ac:dyDescent="0.45">
      <c r="A29" s="2">
        <v>3</v>
      </c>
      <c r="B29" s="2">
        <v>20.399999999999999</v>
      </c>
      <c r="C29" s="2">
        <f t="shared" ref="C29:C45" si="2">B28</f>
        <v>18.600000000000001</v>
      </c>
      <c r="D29" s="7">
        <f t="shared" ref="D29:D45" si="3">B29-$B$48</f>
        <v>2.8277777777777757</v>
      </c>
      <c r="E29" s="7">
        <f t="shared" ref="E29:E45" si="4">C29-$B$49</f>
        <v>0.66666666666666785</v>
      </c>
      <c r="F29" s="18">
        <f t="shared" ref="F29:F35" si="5">D29*E29</f>
        <v>1.8851851851851871</v>
      </c>
      <c r="G29" s="18"/>
      <c r="H29" s="7">
        <f t="shared" ref="H29:I44" si="6">D29^2</f>
        <v>7.9963271604938155</v>
      </c>
      <c r="I29" s="7">
        <f t="shared" si="6"/>
        <v>0.44444444444444603</v>
      </c>
      <c r="M29" s="2">
        <v>3</v>
      </c>
      <c r="N29" s="2">
        <v>20.399999999999999</v>
      </c>
      <c r="O29" s="2">
        <v>3</v>
      </c>
      <c r="P29" s="2">
        <f t="shared" ref="P29:P44" si="7">N29*O29</f>
        <v>61.199999999999996</v>
      </c>
      <c r="Q29" s="2">
        <f t="shared" si="0"/>
        <v>9</v>
      </c>
      <c r="R29" s="8">
        <f t="shared" si="1"/>
        <v>20.349999999999998</v>
      </c>
    </row>
    <row r="30" spans="1:20" x14ac:dyDescent="0.45">
      <c r="A30" s="2">
        <v>4</v>
      </c>
      <c r="B30" s="2">
        <v>19.899999999999999</v>
      </c>
      <c r="C30" s="2">
        <f t="shared" si="2"/>
        <v>20.399999999999999</v>
      </c>
      <c r="D30" s="7">
        <f t="shared" si="3"/>
        <v>2.3277777777777757</v>
      </c>
      <c r="E30" s="7">
        <f t="shared" si="4"/>
        <v>2.466666666666665</v>
      </c>
      <c r="F30" s="18">
        <f t="shared" si="5"/>
        <v>5.7418518518518429</v>
      </c>
      <c r="G30" s="18"/>
      <c r="H30" s="7">
        <f t="shared" si="6"/>
        <v>5.4185493827160398</v>
      </c>
      <c r="I30" s="7">
        <f t="shared" si="6"/>
        <v>6.0844444444444363</v>
      </c>
      <c r="M30" s="2">
        <v>4</v>
      </c>
      <c r="N30" s="2">
        <v>19.899999999999999</v>
      </c>
      <c r="O30" s="2">
        <v>4</v>
      </c>
      <c r="P30" s="2">
        <f t="shared" si="7"/>
        <v>79.599999999999994</v>
      </c>
      <c r="Q30" s="2">
        <f t="shared" si="0"/>
        <v>16</v>
      </c>
      <c r="R30" s="8">
        <f t="shared" si="1"/>
        <v>19.963157894736842</v>
      </c>
    </row>
    <row r="31" spans="1:20" x14ac:dyDescent="0.45">
      <c r="A31" s="2">
        <v>5</v>
      </c>
      <c r="B31" s="2">
        <v>13.4</v>
      </c>
      <c r="C31" s="2">
        <f t="shared" si="2"/>
        <v>19.899999999999999</v>
      </c>
      <c r="D31" s="7">
        <f t="shared" si="3"/>
        <v>-4.1722222222222225</v>
      </c>
      <c r="E31" s="7">
        <f t="shared" si="4"/>
        <v>1.966666666666665</v>
      </c>
      <c r="F31" s="18">
        <f t="shared" si="5"/>
        <v>-8.205370370370364</v>
      </c>
      <c r="G31" s="18"/>
      <c r="H31" s="7">
        <f t="shared" si="6"/>
        <v>17.407438271604942</v>
      </c>
      <c r="I31" s="7">
        <f t="shared" si="6"/>
        <v>3.8677777777777713</v>
      </c>
      <c r="M31" s="2">
        <v>5</v>
      </c>
      <c r="N31" s="2">
        <v>13.4</v>
      </c>
      <c r="O31" s="2">
        <v>5</v>
      </c>
      <c r="P31" s="2">
        <f t="shared" si="7"/>
        <v>67</v>
      </c>
      <c r="Q31" s="2">
        <f t="shared" si="0"/>
        <v>25</v>
      </c>
      <c r="R31" s="8">
        <f t="shared" si="1"/>
        <v>19.576315789473682</v>
      </c>
    </row>
    <row r="32" spans="1:20" x14ac:dyDescent="0.45">
      <c r="A32" s="2">
        <v>6</v>
      </c>
      <c r="B32" s="2">
        <v>22.1</v>
      </c>
      <c r="C32" s="2">
        <f t="shared" si="2"/>
        <v>13.4</v>
      </c>
      <c r="D32" s="7">
        <f t="shared" si="3"/>
        <v>4.5277777777777786</v>
      </c>
      <c r="E32" s="7">
        <f t="shared" si="4"/>
        <v>-4.5333333333333332</v>
      </c>
      <c r="F32" s="18">
        <f t="shared" si="5"/>
        <v>-20.525925925925929</v>
      </c>
      <c r="G32" s="18"/>
      <c r="H32" s="7">
        <f t="shared" si="6"/>
        <v>20.500771604938279</v>
      </c>
      <c r="I32" s="7">
        <f t="shared" si="6"/>
        <v>20.551111111111108</v>
      </c>
      <c r="M32" s="2">
        <v>6</v>
      </c>
      <c r="N32" s="2">
        <v>22.1</v>
      </c>
      <c r="O32" s="2">
        <v>6</v>
      </c>
      <c r="P32" s="2">
        <f t="shared" si="7"/>
        <v>132.60000000000002</v>
      </c>
      <c r="Q32" s="2">
        <f t="shared" si="0"/>
        <v>36</v>
      </c>
      <c r="R32" s="8">
        <f t="shared" si="1"/>
        <v>19.189473684210526</v>
      </c>
    </row>
    <row r="33" spans="1:18" x14ac:dyDescent="0.45">
      <c r="A33" s="2">
        <v>7</v>
      </c>
      <c r="B33" s="2">
        <v>22.3</v>
      </c>
      <c r="C33" s="2">
        <f t="shared" si="2"/>
        <v>22.1</v>
      </c>
      <c r="D33" s="7">
        <f t="shared" si="3"/>
        <v>4.7277777777777779</v>
      </c>
      <c r="E33" s="7">
        <f t="shared" si="4"/>
        <v>4.1666666666666679</v>
      </c>
      <c r="F33" s="18">
        <f t="shared" si="5"/>
        <v>19.69907407407408</v>
      </c>
      <c r="G33" s="18"/>
      <c r="H33" s="7">
        <f t="shared" si="6"/>
        <v>22.351882716049385</v>
      </c>
      <c r="I33" s="7">
        <f t="shared" si="6"/>
        <v>17.361111111111121</v>
      </c>
      <c r="M33" s="2">
        <v>7</v>
      </c>
      <c r="N33" s="2">
        <v>22.3</v>
      </c>
      <c r="O33" s="2">
        <v>7</v>
      </c>
      <c r="P33" s="2">
        <f t="shared" si="7"/>
        <v>156.1</v>
      </c>
      <c r="Q33" s="2">
        <f t="shared" si="0"/>
        <v>49</v>
      </c>
      <c r="R33" s="8">
        <f t="shared" si="1"/>
        <v>18.802631578947366</v>
      </c>
    </row>
    <row r="34" spans="1:18" x14ac:dyDescent="0.45">
      <c r="A34" s="2">
        <v>8</v>
      </c>
      <c r="B34" s="2">
        <v>20.100000000000001</v>
      </c>
      <c r="C34" s="2">
        <f t="shared" si="2"/>
        <v>22.3</v>
      </c>
      <c r="D34" s="7">
        <f t="shared" si="3"/>
        <v>2.5277777777777786</v>
      </c>
      <c r="E34" s="7">
        <f t="shared" si="4"/>
        <v>4.3666666666666671</v>
      </c>
      <c r="F34" s="18">
        <f t="shared" si="5"/>
        <v>11.037962962962968</v>
      </c>
      <c r="G34" s="18"/>
      <c r="H34" s="7">
        <f t="shared" si="6"/>
        <v>6.3896604938271642</v>
      </c>
      <c r="I34" s="7">
        <f t="shared" si="6"/>
        <v>19.067777777777781</v>
      </c>
      <c r="M34" s="2">
        <v>8</v>
      </c>
      <c r="N34" s="2">
        <v>20.100000000000001</v>
      </c>
      <c r="O34" s="2">
        <v>8</v>
      </c>
      <c r="P34" s="2">
        <f t="shared" si="7"/>
        <v>160.80000000000001</v>
      </c>
      <c r="Q34" s="2">
        <f t="shared" si="0"/>
        <v>64</v>
      </c>
      <c r="R34" s="8">
        <f t="shared" si="1"/>
        <v>18.41578947368421</v>
      </c>
    </row>
    <row r="35" spans="1:18" x14ac:dyDescent="0.45">
      <c r="A35" s="2">
        <v>9</v>
      </c>
      <c r="B35" s="2">
        <v>15.6</v>
      </c>
      <c r="C35" s="2">
        <f t="shared" si="2"/>
        <v>20.100000000000001</v>
      </c>
      <c r="D35" s="7">
        <f t="shared" si="3"/>
        <v>-1.9722222222222232</v>
      </c>
      <c r="E35" s="7">
        <f t="shared" si="4"/>
        <v>2.1666666666666679</v>
      </c>
      <c r="F35" s="18">
        <f t="shared" si="5"/>
        <v>-4.2731481481481524</v>
      </c>
      <c r="G35" s="18"/>
      <c r="H35" s="7">
        <f t="shared" si="6"/>
        <v>3.8896604938271642</v>
      </c>
      <c r="I35" s="7">
        <f t="shared" si="6"/>
        <v>4.69444444444445</v>
      </c>
      <c r="M35" s="2">
        <v>9</v>
      </c>
      <c r="N35" s="2">
        <v>15.6</v>
      </c>
      <c r="O35" s="2">
        <v>9</v>
      </c>
      <c r="P35" s="2">
        <f t="shared" si="7"/>
        <v>140.4</v>
      </c>
      <c r="Q35" s="2">
        <f>O35^2</f>
        <v>81</v>
      </c>
      <c r="R35" s="8">
        <f t="shared" si="1"/>
        <v>18.028947368421051</v>
      </c>
    </row>
    <row r="36" spans="1:18" x14ac:dyDescent="0.45">
      <c r="A36" s="2">
        <v>10</v>
      </c>
      <c r="B36" s="2">
        <v>18.2</v>
      </c>
      <c r="C36" s="2">
        <f t="shared" si="2"/>
        <v>15.6</v>
      </c>
      <c r="D36" s="7">
        <f t="shared" si="3"/>
        <v>0.62777777777777644</v>
      </c>
      <c r="E36" s="7">
        <f t="shared" si="4"/>
        <v>-2.3333333333333339</v>
      </c>
      <c r="F36" s="18">
        <f t="shared" ref="F36:F45" si="8">D36*E36</f>
        <v>-1.4648148148148121</v>
      </c>
      <c r="G36" s="18"/>
      <c r="H36" s="7">
        <f t="shared" si="6"/>
        <v>0.39410493827160326</v>
      </c>
      <c r="I36" s="7">
        <f t="shared" si="6"/>
        <v>5.4444444444444473</v>
      </c>
      <c r="M36" s="2">
        <v>10</v>
      </c>
      <c r="N36" s="2">
        <v>18.2</v>
      </c>
      <c r="O36" s="2">
        <v>10</v>
      </c>
      <c r="P36" s="2">
        <f t="shared" si="7"/>
        <v>182</v>
      </c>
      <c r="Q36" s="2">
        <f t="shared" ref="Q36:Q45" si="9">O36^2</f>
        <v>100</v>
      </c>
      <c r="R36" s="8">
        <f t="shared" si="1"/>
        <v>17.642105263157895</v>
      </c>
    </row>
    <row r="37" spans="1:18" x14ac:dyDescent="0.45">
      <c r="A37" s="2">
        <v>11</v>
      </c>
      <c r="B37" s="2">
        <v>23.5</v>
      </c>
      <c r="C37" s="2">
        <f t="shared" si="2"/>
        <v>18.2</v>
      </c>
      <c r="D37" s="7">
        <f t="shared" si="3"/>
        <v>5.9277777777777771</v>
      </c>
      <c r="E37" s="7">
        <f t="shared" si="4"/>
        <v>0.26666666666666572</v>
      </c>
      <c r="F37" s="18">
        <f t="shared" si="8"/>
        <v>1.580740740740735</v>
      </c>
      <c r="G37" s="18"/>
      <c r="H37" s="7">
        <f t="shared" si="6"/>
        <v>35.138549382716043</v>
      </c>
      <c r="I37" s="7">
        <f t="shared" si="6"/>
        <v>7.1111111111110611E-2</v>
      </c>
      <c r="M37" s="2">
        <v>11</v>
      </c>
      <c r="N37" s="2">
        <v>23.5</v>
      </c>
      <c r="O37" s="2">
        <v>11</v>
      </c>
      <c r="P37" s="2">
        <f t="shared" si="7"/>
        <v>258.5</v>
      </c>
      <c r="Q37" s="2">
        <f t="shared" si="9"/>
        <v>121</v>
      </c>
      <c r="R37" s="8">
        <f t="shared" si="1"/>
        <v>17.255263157894735</v>
      </c>
    </row>
    <row r="38" spans="1:18" x14ac:dyDescent="0.45">
      <c r="A38" s="2">
        <v>12</v>
      </c>
      <c r="B38" s="2">
        <v>20.399999999999999</v>
      </c>
      <c r="C38" s="2">
        <f t="shared" si="2"/>
        <v>23.5</v>
      </c>
      <c r="D38" s="7">
        <f t="shared" si="3"/>
        <v>2.8277777777777757</v>
      </c>
      <c r="E38" s="7">
        <f t="shared" si="4"/>
        <v>5.5666666666666664</v>
      </c>
      <c r="F38" s="18">
        <f t="shared" si="8"/>
        <v>15.741296296296284</v>
      </c>
      <c r="G38" s="18"/>
      <c r="H38" s="7">
        <f t="shared" si="6"/>
        <v>7.9963271604938155</v>
      </c>
      <c r="I38" s="7">
        <f t="shared" si="6"/>
        <v>30.987777777777776</v>
      </c>
      <c r="M38" s="2">
        <v>12</v>
      </c>
      <c r="N38" s="2">
        <v>20.399999999999999</v>
      </c>
      <c r="O38" s="2">
        <v>12</v>
      </c>
      <c r="P38" s="2">
        <f t="shared" si="7"/>
        <v>244.79999999999998</v>
      </c>
      <c r="Q38" s="2">
        <f t="shared" si="9"/>
        <v>144</v>
      </c>
      <c r="R38" s="8">
        <f t="shared" si="1"/>
        <v>16.868421052631575</v>
      </c>
    </row>
    <row r="39" spans="1:18" x14ac:dyDescent="0.45">
      <c r="A39" s="2">
        <v>13</v>
      </c>
      <c r="B39" s="2">
        <v>17.8</v>
      </c>
      <c r="C39" s="2">
        <f t="shared" si="2"/>
        <v>20.399999999999999</v>
      </c>
      <c r="D39" s="7">
        <f t="shared" si="3"/>
        <v>0.22777777777777786</v>
      </c>
      <c r="E39" s="7">
        <f t="shared" si="4"/>
        <v>2.466666666666665</v>
      </c>
      <c r="F39" s="18">
        <f t="shared" si="8"/>
        <v>0.56185185185185171</v>
      </c>
      <c r="G39" s="18"/>
      <c r="H39" s="7">
        <f t="shared" si="6"/>
        <v>5.188271604938275E-2</v>
      </c>
      <c r="I39" s="7">
        <f t="shared" si="6"/>
        <v>6.0844444444444363</v>
      </c>
      <c r="M39" s="2">
        <v>13</v>
      </c>
      <c r="N39" s="2">
        <v>17.8</v>
      </c>
      <c r="O39" s="2">
        <v>13</v>
      </c>
      <c r="P39" s="2">
        <f t="shared" si="7"/>
        <v>231.4</v>
      </c>
      <c r="Q39" s="2">
        <f t="shared" si="9"/>
        <v>169</v>
      </c>
      <c r="R39" s="8">
        <f t="shared" si="1"/>
        <v>16.481578947368419</v>
      </c>
    </row>
    <row r="40" spans="1:18" x14ac:dyDescent="0.45">
      <c r="A40" s="2">
        <v>14</v>
      </c>
      <c r="B40" s="2">
        <v>16.899999999999999</v>
      </c>
      <c r="C40" s="2">
        <f t="shared" si="2"/>
        <v>17.8</v>
      </c>
      <c r="D40" s="7">
        <f t="shared" si="3"/>
        <v>-0.67222222222222427</v>
      </c>
      <c r="E40" s="7">
        <f t="shared" si="4"/>
        <v>-0.13333333333333286</v>
      </c>
      <c r="F40" s="18">
        <f t="shared" si="8"/>
        <v>8.9629629629629587E-2</v>
      </c>
      <c r="G40" s="18"/>
      <c r="H40" s="7">
        <f t="shared" si="6"/>
        <v>0.45188271604938546</v>
      </c>
      <c r="I40" s="7">
        <f t="shared" si="6"/>
        <v>1.7777777777777653E-2</v>
      </c>
      <c r="M40" s="2">
        <v>14</v>
      </c>
      <c r="N40" s="2">
        <v>16.899999999999999</v>
      </c>
      <c r="O40" s="2">
        <v>14</v>
      </c>
      <c r="P40" s="2">
        <f t="shared" si="7"/>
        <v>236.59999999999997</v>
      </c>
      <c r="Q40" s="2">
        <f t="shared" si="9"/>
        <v>196</v>
      </c>
      <c r="R40" s="8">
        <f t="shared" si="1"/>
        <v>16.094736842105263</v>
      </c>
    </row>
    <row r="41" spans="1:18" x14ac:dyDescent="0.45">
      <c r="A41" s="2">
        <v>15</v>
      </c>
      <c r="B41" s="2">
        <v>16</v>
      </c>
      <c r="C41" s="2">
        <f t="shared" si="2"/>
        <v>16.899999999999999</v>
      </c>
      <c r="D41" s="7">
        <f t="shared" si="3"/>
        <v>-1.5722222222222229</v>
      </c>
      <c r="E41" s="7">
        <f t="shared" si="4"/>
        <v>-1.033333333333335</v>
      </c>
      <c r="F41" s="18">
        <f t="shared" si="8"/>
        <v>1.624629629629633</v>
      </c>
      <c r="G41" s="18"/>
      <c r="H41" s="7">
        <f t="shared" si="6"/>
        <v>2.4718827160493846</v>
      </c>
      <c r="I41" s="7">
        <f t="shared" si="6"/>
        <v>1.0677777777777813</v>
      </c>
      <c r="M41" s="2">
        <v>15</v>
      </c>
      <c r="N41" s="2">
        <v>16</v>
      </c>
      <c r="O41" s="2">
        <v>15</v>
      </c>
      <c r="P41" s="2">
        <f t="shared" si="7"/>
        <v>240</v>
      </c>
      <c r="Q41" s="2">
        <f t="shared" si="9"/>
        <v>225</v>
      </c>
      <c r="R41" s="8">
        <f t="shared" si="1"/>
        <v>15.707894736842103</v>
      </c>
    </row>
    <row r="42" spans="1:18" x14ac:dyDescent="0.45">
      <c r="A42" s="2">
        <v>16</v>
      </c>
      <c r="B42" s="2">
        <v>17.5</v>
      </c>
      <c r="C42" s="2">
        <f t="shared" si="2"/>
        <v>16</v>
      </c>
      <c r="D42" s="7">
        <f t="shared" si="3"/>
        <v>-7.2222222222222854E-2</v>
      </c>
      <c r="E42" s="7">
        <f t="shared" si="4"/>
        <v>-1.9333333333333336</v>
      </c>
      <c r="F42" s="18">
        <f>D42*E42</f>
        <v>0.13962962962963088</v>
      </c>
      <c r="G42" s="18"/>
      <c r="H42" s="7">
        <f t="shared" si="6"/>
        <v>5.2160493827161404E-3</v>
      </c>
      <c r="I42" s="7">
        <f t="shared" si="6"/>
        <v>3.7377777777777785</v>
      </c>
      <c r="M42" s="2">
        <v>16</v>
      </c>
      <c r="N42" s="2">
        <v>17.5</v>
      </c>
      <c r="O42" s="2">
        <v>16</v>
      </c>
      <c r="P42" s="2">
        <f t="shared" si="7"/>
        <v>280</v>
      </c>
      <c r="Q42" s="2">
        <f t="shared" si="9"/>
        <v>256</v>
      </c>
      <c r="R42" s="8">
        <f t="shared" si="1"/>
        <v>15.321052631578945</v>
      </c>
    </row>
    <row r="43" spans="1:18" x14ac:dyDescent="0.45">
      <c r="A43" s="2">
        <v>17</v>
      </c>
      <c r="B43" s="2">
        <v>12.8</v>
      </c>
      <c r="C43" s="2">
        <f t="shared" si="2"/>
        <v>17.5</v>
      </c>
      <c r="D43" s="7">
        <f t="shared" si="3"/>
        <v>-4.7722222222222221</v>
      </c>
      <c r="E43" s="7">
        <f t="shared" si="4"/>
        <v>-0.43333333333333357</v>
      </c>
      <c r="F43" s="18">
        <f t="shared" si="8"/>
        <v>2.0679629629629641</v>
      </c>
      <c r="G43" s="18"/>
      <c r="H43" s="7">
        <f t="shared" si="6"/>
        <v>22.774104938271606</v>
      </c>
      <c r="I43" s="7">
        <f t="shared" si="6"/>
        <v>0.18777777777777799</v>
      </c>
      <c r="M43" s="2">
        <v>17</v>
      </c>
      <c r="N43" s="2">
        <v>12.8</v>
      </c>
      <c r="O43" s="2">
        <v>17</v>
      </c>
      <c r="P43" s="2">
        <f t="shared" si="7"/>
        <v>217.60000000000002</v>
      </c>
      <c r="Q43" s="2">
        <f t="shared" si="9"/>
        <v>289</v>
      </c>
      <c r="R43" s="8">
        <f t="shared" si="1"/>
        <v>14.934210526315788</v>
      </c>
    </row>
    <row r="44" spans="1:18" x14ac:dyDescent="0.45">
      <c r="A44" s="2">
        <v>18</v>
      </c>
      <c r="B44" s="2">
        <v>8.4</v>
      </c>
      <c r="C44" s="2">
        <f t="shared" si="2"/>
        <v>12.8</v>
      </c>
      <c r="D44" s="7">
        <f t="shared" si="3"/>
        <v>-9.1722222222222225</v>
      </c>
      <c r="E44" s="7">
        <f t="shared" si="4"/>
        <v>-5.1333333333333329</v>
      </c>
      <c r="F44" s="18">
        <f t="shared" si="8"/>
        <v>47.084074074074074</v>
      </c>
      <c r="G44" s="18"/>
      <c r="H44" s="7">
        <f t="shared" si="6"/>
        <v>84.12966049382716</v>
      </c>
      <c r="I44" s="7">
        <f t="shared" si="6"/>
        <v>26.351111111111106</v>
      </c>
      <c r="M44" s="2">
        <v>18</v>
      </c>
      <c r="N44" s="2">
        <v>8.4</v>
      </c>
      <c r="O44" s="2">
        <v>18</v>
      </c>
      <c r="P44" s="2">
        <f t="shared" si="7"/>
        <v>151.20000000000002</v>
      </c>
      <c r="Q44" s="2">
        <f t="shared" si="9"/>
        <v>324</v>
      </c>
      <c r="R44" s="8">
        <f t="shared" si="1"/>
        <v>14.54736842105263</v>
      </c>
    </row>
    <row r="45" spans="1:18" x14ac:dyDescent="0.45">
      <c r="A45" s="2">
        <v>19</v>
      </c>
      <c r="B45" s="2">
        <v>12.4</v>
      </c>
      <c r="C45" s="2">
        <f t="shared" si="2"/>
        <v>8.4</v>
      </c>
      <c r="D45" s="7">
        <f t="shared" si="3"/>
        <v>-5.1722222222222225</v>
      </c>
      <c r="E45" s="7">
        <f t="shared" si="4"/>
        <v>-9.5333333333333332</v>
      </c>
      <c r="F45" s="18">
        <f t="shared" si="8"/>
        <v>49.308518518518518</v>
      </c>
      <c r="G45" s="18"/>
      <c r="H45" s="7">
        <f>D45^2</f>
        <v>26.751882716049387</v>
      </c>
      <c r="I45" s="7">
        <f>E45^2</f>
        <v>90.884444444444441</v>
      </c>
      <c r="M45" s="2">
        <v>19</v>
      </c>
      <c r="N45" s="2">
        <v>12.4</v>
      </c>
      <c r="O45" s="2">
        <v>19</v>
      </c>
      <c r="P45" s="2">
        <f>N45*O45</f>
        <v>235.6</v>
      </c>
      <c r="Q45" s="2">
        <f t="shared" si="9"/>
        <v>361</v>
      </c>
      <c r="R45" s="8">
        <f t="shared" si="1"/>
        <v>14.160526315789472</v>
      </c>
    </row>
    <row r="46" spans="1:18" x14ac:dyDescent="0.45">
      <c r="A46" s="2" t="s">
        <v>4</v>
      </c>
      <c r="B46" s="2">
        <f>SUM(B27:B45)</f>
        <v>335.2</v>
      </c>
      <c r="C46" s="2">
        <f>SUM(C28:C45)</f>
        <v>322.8</v>
      </c>
      <c r="D46" s="7"/>
      <c r="E46" s="7"/>
      <c r="F46" s="18">
        <f>SUM(F28:G45)</f>
        <v>123.08666666666667</v>
      </c>
      <c r="G46" s="18"/>
      <c r="H46" s="7">
        <f>SUM(H28:H45)</f>
        <v>265.17611111111114</v>
      </c>
      <c r="I46" s="7">
        <f>SUM(I28:I45)</f>
        <v>237.83999999999997</v>
      </c>
      <c r="M46" s="2" t="s">
        <v>4</v>
      </c>
      <c r="N46" s="2">
        <f>SUM(N27:N45)</f>
        <v>335.2</v>
      </c>
      <c r="O46" s="2">
        <f>SUM(O27:O45)</f>
        <v>190</v>
      </c>
      <c r="P46" s="2">
        <f>SUM(P27:P45)</f>
        <v>3131.5</v>
      </c>
      <c r="Q46" s="2">
        <f t="shared" ref="Q46" si="10">SUM(Q27:Q45)</f>
        <v>2470</v>
      </c>
      <c r="R46" s="8">
        <f>SUM(R27:R45)</f>
        <v>335.19999999999993</v>
      </c>
    </row>
    <row r="47" spans="1:18" x14ac:dyDescent="0.45">
      <c r="M47" s="2" t="s">
        <v>23</v>
      </c>
      <c r="N47" s="2">
        <f>AVERAGE(N27:N45)</f>
        <v>17.642105263157895</v>
      </c>
      <c r="O47" s="2">
        <f t="shared" ref="O47:Q47" si="11">AVERAGE(O27:O45)</f>
        <v>10</v>
      </c>
      <c r="P47" s="2">
        <f t="shared" si="11"/>
        <v>164.81578947368422</v>
      </c>
      <c r="Q47" s="2">
        <f t="shared" si="11"/>
        <v>130</v>
      </c>
      <c r="R47" s="8">
        <f>AVERAGE(R27:R45)</f>
        <v>17.642105263157891</v>
      </c>
    </row>
    <row r="48" spans="1:18" x14ac:dyDescent="0.45">
      <c r="A48" s="2" t="s">
        <v>14</v>
      </c>
      <c r="B48" s="6">
        <f>(B46-B27)/(A45-1)</f>
        <v>17.572222222222223</v>
      </c>
      <c r="M48" s="10"/>
    </row>
    <row r="49" spans="1:21" x14ac:dyDescent="0.45">
      <c r="A49" s="2" t="s">
        <v>15</v>
      </c>
      <c r="B49" s="6">
        <f>C46/(A45-1)</f>
        <v>17.933333333333334</v>
      </c>
    </row>
    <row r="50" spans="1:21" x14ac:dyDescent="0.45">
      <c r="M50" s="2" t="s">
        <v>33</v>
      </c>
      <c r="N50" s="2">
        <f>(P47-N47*O47)/(Q47-O47^2)</f>
        <v>-0.38684210526315799</v>
      </c>
    </row>
    <row r="51" spans="1:21" ht="14.25" customHeight="1" x14ac:dyDescent="0.45">
      <c r="A51" s="2" t="s">
        <v>29</v>
      </c>
      <c r="B51" s="2">
        <f>F46/SQRT(H46*I46)</f>
        <v>0.49011880269297359</v>
      </c>
      <c r="C51" s="9" t="s">
        <v>31</v>
      </c>
      <c r="D51" s="17" t="s">
        <v>59</v>
      </c>
      <c r="E51" s="17"/>
      <c r="F51" s="17"/>
      <c r="G51" s="17"/>
      <c r="H51" s="17"/>
      <c r="I51" s="17"/>
    </row>
    <row r="52" spans="1:21" x14ac:dyDescent="0.45">
      <c r="D52" s="17"/>
      <c r="E52" s="17"/>
      <c r="F52" s="17"/>
      <c r="G52" s="17"/>
      <c r="H52" s="17"/>
      <c r="I52" s="17"/>
    </row>
    <row r="53" spans="1:21" x14ac:dyDescent="0.45">
      <c r="D53" s="17"/>
      <c r="E53" s="17"/>
      <c r="F53" s="17"/>
      <c r="G53" s="17"/>
      <c r="H53" s="17"/>
      <c r="I53" s="17"/>
      <c r="M53" s="2" t="s">
        <v>34</v>
      </c>
      <c r="N53" s="2">
        <f>N47-N50*O47</f>
        <v>21.510526315789473</v>
      </c>
    </row>
    <row r="54" spans="1:21" x14ac:dyDescent="0.45">
      <c r="D54" s="17"/>
      <c r="E54" s="17"/>
      <c r="F54" s="17"/>
      <c r="G54" s="17"/>
      <c r="H54" s="17"/>
      <c r="I54" s="17"/>
    </row>
    <row r="55" spans="1:21" ht="14.25" customHeight="1" x14ac:dyDescent="0.45">
      <c r="D55" s="17"/>
      <c r="E55" s="17"/>
      <c r="F55" s="17"/>
      <c r="G55" s="17"/>
      <c r="H55" s="17"/>
      <c r="I55" s="17"/>
      <c r="M55" s="2" t="s">
        <v>26</v>
      </c>
      <c r="N55" s="17" t="s">
        <v>35</v>
      </c>
      <c r="O55" s="17"/>
      <c r="P55" s="17"/>
      <c r="Q55" s="17"/>
      <c r="R55" s="17"/>
      <c r="S55" s="17"/>
      <c r="T55" s="17"/>
      <c r="U55" s="17"/>
    </row>
    <row r="56" spans="1:21" x14ac:dyDescent="0.45">
      <c r="D56" s="17"/>
      <c r="E56" s="17"/>
      <c r="F56" s="17"/>
      <c r="G56" s="17"/>
      <c r="H56" s="17"/>
      <c r="I56" s="17"/>
      <c r="N56" s="17"/>
      <c r="O56" s="17"/>
      <c r="P56" s="17"/>
      <c r="Q56" s="17"/>
      <c r="R56" s="17"/>
      <c r="S56" s="17"/>
      <c r="T56" s="17"/>
      <c r="U56" s="17"/>
    </row>
    <row r="57" spans="1:21" x14ac:dyDescent="0.45">
      <c r="D57" s="17"/>
      <c r="E57" s="17"/>
      <c r="F57" s="17"/>
      <c r="G57" s="17"/>
      <c r="H57" s="17"/>
      <c r="I57" s="17"/>
    </row>
    <row r="58" spans="1:21" x14ac:dyDescent="0.45">
      <c r="D58" s="17"/>
      <c r="E58" s="17"/>
      <c r="F58" s="17"/>
      <c r="G58" s="17"/>
      <c r="H58" s="17"/>
      <c r="I58" s="17"/>
    </row>
    <row r="59" spans="1:21" x14ac:dyDescent="0.45">
      <c r="D59" s="5"/>
      <c r="E59" s="5"/>
      <c r="F59" s="5"/>
      <c r="G59" s="5"/>
      <c r="H59" s="5"/>
      <c r="I59" s="5"/>
    </row>
  </sheetData>
  <mergeCells count="29">
    <mergeCell ref="F45:G45"/>
    <mergeCell ref="F46:G46"/>
    <mergeCell ref="D51:I58"/>
    <mergeCell ref="M24:T24"/>
    <mergeCell ref="M25:O25"/>
    <mergeCell ref="N55:U56"/>
    <mergeCell ref="F39:G39"/>
    <mergeCell ref="F40:G40"/>
    <mergeCell ref="F41:G41"/>
    <mergeCell ref="F42:G42"/>
    <mergeCell ref="F43:G43"/>
    <mergeCell ref="F44:G44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A1:E1"/>
    <mergeCell ref="A6:G6"/>
    <mergeCell ref="A24:H24"/>
    <mergeCell ref="A25:C25"/>
    <mergeCell ref="F26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Задача1</vt:lpstr>
      <vt:lpstr>Задача2</vt:lpstr>
      <vt:lpstr>Задача3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2024-05-13T15:02:50Z</dcterms:modified>
</cp:coreProperties>
</file>
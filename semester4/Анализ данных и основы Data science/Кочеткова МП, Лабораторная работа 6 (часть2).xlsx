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Мария\Desktop\"/>
    </mc:Choice>
  </mc:AlternateContent>
  <xr:revisionPtr revIDLastSave="0" documentId="13_ncr:1_{3E999744-8533-4DD5-A362-85C70C9BE53D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задача1" sheetId="1" r:id="rId1"/>
    <sheet name="задача2" sheetId="2" r:id="rId2"/>
    <sheet name="задача3" sheetId="3" r:id="rId3"/>
    <sheet name="задача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4" l="1"/>
  <c r="I14" i="4"/>
  <c r="I5" i="4"/>
  <c r="E5" i="4"/>
  <c r="J4" i="4"/>
  <c r="K4" i="4"/>
  <c r="L4" i="4"/>
  <c r="I4" i="4"/>
  <c r="F4" i="4"/>
  <c r="G4" i="4"/>
  <c r="E4" i="4"/>
  <c r="F6" i="4" s="1"/>
  <c r="L17" i="4"/>
  <c r="E3" i="3"/>
  <c r="C6" i="3"/>
  <c r="F7" i="3" s="1"/>
  <c r="H9" i="2"/>
  <c r="D8" i="2"/>
  <c r="G8" i="1"/>
  <c r="D7" i="1"/>
  <c r="J6" i="4" l="1"/>
  <c r="L9" i="4" s="1"/>
  <c r="F9" i="4"/>
  <c r="G9" i="4"/>
  <c r="E9" i="4"/>
  <c r="G10" i="4" s="1"/>
  <c r="J9" i="4"/>
  <c r="K9" i="4"/>
  <c r="L10" i="4" l="1"/>
  <c r="F14" i="4" s="1"/>
</calcChain>
</file>

<file path=xl/sharedStrings.xml><?xml version="1.0" encoding="utf-8"?>
<sst xmlns="http://schemas.openxmlformats.org/spreadsheetml/2006/main" count="73" uniqueCount="57">
  <si>
    <t xml:space="preserve">n = </t>
  </si>
  <si>
    <t>a =</t>
  </si>
  <si>
    <t xml:space="preserve">ɣ = </t>
  </si>
  <si>
    <t>- чувствена</t>
  </si>
  <si>
    <r>
      <t xml:space="preserve">при </t>
    </r>
    <r>
      <rPr>
        <sz val="11"/>
        <color theme="1"/>
        <rFont val="Calibri"/>
        <family val="2"/>
      </rPr>
      <t>ɣ=0,95</t>
    </r>
  </si>
  <si>
    <t>В задаче:</t>
  </si>
  <si>
    <t>|t| =</t>
  </si>
  <si>
    <t>a0 =</t>
  </si>
  <si>
    <t>тыс.руб</t>
  </si>
  <si>
    <t>=&gt;</t>
  </si>
  <si>
    <t>- гипотиза</t>
  </si>
  <si>
    <t>неизвеста</t>
  </si>
  <si>
    <r>
      <t xml:space="preserve">при </t>
    </r>
    <r>
      <rPr>
        <sz val="11"/>
        <color theme="1"/>
        <rFont val="Calibri"/>
        <family val="2"/>
      </rPr>
      <t>ɣ = 0,95</t>
    </r>
  </si>
  <si>
    <r>
      <t>если |t|&lt;t</t>
    </r>
    <r>
      <rPr>
        <sz val="11"/>
        <color theme="1"/>
        <rFont val="Calibri"/>
        <family val="2"/>
      </rPr>
      <t xml:space="preserve">₉,ₖₚ </t>
    </r>
    <r>
      <rPr>
        <sz val="11"/>
        <color theme="1"/>
        <rFont val="Calibri"/>
        <family val="2"/>
        <scheme val="minor"/>
      </rPr>
      <t>, то гипотиза принимается</t>
    </r>
  </si>
  <si>
    <r>
      <t xml:space="preserve"> - гипотиза H</t>
    </r>
    <r>
      <rPr>
        <sz val="11"/>
        <color theme="1"/>
        <rFont val="Calibri"/>
        <family val="2"/>
      </rPr>
      <t>₀</t>
    </r>
  </si>
  <si>
    <r>
      <t>если |t|&lt;t</t>
    </r>
    <r>
      <rPr>
        <sz val="11"/>
        <color theme="1"/>
        <rFont val="Calibri"/>
        <family val="2"/>
      </rPr>
      <t xml:space="preserve">ₖₚ </t>
    </r>
    <r>
      <rPr>
        <sz val="11"/>
        <color theme="1"/>
        <rFont val="Calibri"/>
        <family val="2"/>
        <scheme val="minor"/>
      </rPr>
      <t>, то гипотиза принимается</t>
    </r>
  </si>
  <si>
    <t>|t|=1,129 &lt; t₉,ₖₚ=2,26</t>
  </si>
  <si>
    <t>n =</t>
  </si>
  <si>
    <t xml:space="preserve"> S² =</t>
  </si>
  <si>
    <r>
      <t>если |t|&lt;t</t>
    </r>
    <r>
      <rPr>
        <sz val="11"/>
        <color theme="1"/>
        <rFont val="Calibri"/>
        <family val="2"/>
        <scheme val="minor"/>
      </rPr>
      <t>ₖₚ , то гипотиза принимается</t>
    </r>
  </si>
  <si>
    <t xml:space="preserve">|t| = </t>
  </si>
  <si>
    <t>В  задаче:</t>
  </si>
  <si>
    <t>|t|=40 &gt; tₖₚ=15,7</t>
  </si>
  <si>
    <t>Вывод: гипотиза H₀ принимается на уровне доверия ɣ = 0,95</t>
  </si>
  <si>
    <t>при n = 25</t>
  </si>
  <si>
    <t>Расходы сырья</t>
  </si>
  <si>
    <t>Число изделий</t>
  </si>
  <si>
    <t>По старой технологии</t>
  </si>
  <si>
    <t>По новой технолагии</t>
  </si>
  <si>
    <t>ɣ =</t>
  </si>
  <si>
    <t>*</t>
  </si>
  <si>
    <t>Степени свободы</t>
  </si>
  <si>
    <r>
      <t xml:space="preserve">При </t>
    </r>
    <r>
      <rPr>
        <sz val="11"/>
        <color theme="1"/>
        <rFont val="Calibri"/>
        <family val="2"/>
        <charset val="204"/>
      </rPr>
      <t>α</t>
    </r>
    <r>
      <rPr>
        <sz val="11"/>
        <color theme="1"/>
        <rFont val="Calibri"/>
        <family val="2"/>
      </rPr>
      <t>=0,1 (ɣ</t>
    </r>
    <r>
      <rPr>
        <sz val="11"/>
        <color theme="1"/>
        <rFont val="Calibri"/>
        <family val="2"/>
        <scheme val="minor"/>
      </rPr>
      <t>=0,9)</t>
    </r>
  </si>
  <si>
    <r>
      <t>если |t|&lt;t</t>
    </r>
    <r>
      <rPr>
        <sz val="11"/>
        <color theme="1"/>
        <rFont val="Calibri"/>
        <family val="2"/>
      </rPr>
      <t>₂₀</t>
    </r>
    <r>
      <rPr>
        <sz val="11"/>
        <color theme="1"/>
        <rFont val="Calibri"/>
        <family val="2"/>
        <scheme val="minor"/>
      </rPr>
      <t>,ₖₚ , то гипотиза принимается</t>
    </r>
  </si>
  <si>
    <t>|t|=1 &lt; tₖₚ=1,96</t>
  </si>
  <si>
    <t>Вывод: гипотиза о достижении требуемой точности отвергается</t>
  </si>
  <si>
    <t>Вывод: гипотиза отвергается</t>
  </si>
  <si>
    <t>x̅ =</t>
  </si>
  <si>
    <t>σ² =</t>
  </si>
  <si>
    <t>tₖₚ = 1,96</t>
  </si>
  <si>
    <t>S̅ =</t>
  </si>
  <si>
    <t xml:space="preserve">α = </t>
  </si>
  <si>
    <t>σ² -</t>
  </si>
  <si>
    <t>tₙ₋₁ ₖₚ = t₉ ₖₚ = 2,26</t>
  </si>
  <si>
    <t xml:space="preserve">σ² = </t>
  </si>
  <si>
    <t>α =</t>
  </si>
  <si>
    <t>P{X²ₙ₋₁ &gt; V} = 0,1</t>
  </si>
  <si>
    <t>tₖₚ = 15,7</t>
  </si>
  <si>
    <t>xᵢ</t>
  </si>
  <si>
    <t>nᵢ</t>
  </si>
  <si>
    <t>xᵢ * nᵢ</t>
  </si>
  <si>
    <t>nₓ =</t>
  </si>
  <si>
    <t>nᵧ =</t>
  </si>
  <si>
    <t>a₁ = a₂</t>
  </si>
  <si>
    <t>= nₓ + nᵧ - 2 = 20</t>
  </si>
  <si>
    <t>t₂₀,ₖₚ = 1,72</t>
  </si>
  <si>
    <t>|t|=4,503 &gt; t₂₀,ₖₚ=1,72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</si>
</sst>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9"/>
      <color rgb="FFFA7D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59996337778862885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auto="1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auto="1"/>
      </right>
      <top/>
      <bottom style="thin">
        <color rgb="FF7F7F7F"/>
      </bottom>
      <diagonal/>
    </border>
  </borders>
  <cellStyleXfs count="5">
    <xf numFmtId="0" fontId="0" fillId="0" borderId="0"/>
    <xf numFmtId="0" fontId="4" fillId="2" borderId="1" applyNumberFormat="0" applyAlignment="0" applyProtection="0"/>
    <xf numFmtId="0" fontId="5" fillId="3" borderId="2" applyNumberFormat="0" applyAlignment="0" applyProtection="0"/>
    <xf numFmtId="0" fontId="3" fillId="4" borderId="3">
      <alignment horizontal="center" vertical="center"/>
    </xf>
    <xf numFmtId="0" fontId="3" fillId="0" borderId="3">
      <alignment horizontal="center" vertical="center"/>
    </xf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2" fontId="0" fillId="0" borderId="0" xfId="0" applyNumberFormat="1" applyAlignment="1">
      <alignment vertical="center"/>
    </xf>
    <xf numFmtId="0" fontId="3" fillId="4" borderId="3" xfId="3">
      <alignment horizontal="center" vertical="center"/>
    </xf>
    <xf numFmtId="0" fontId="3" fillId="0" borderId="3" xfId="4">
      <alignment horizontal="center" vertical="center"/>
    </xf>
    <xf numFmtId="0" fontId="0" fillId="0" borderId="0" xfId="0" quotePrefix="1" applyAlignment="1">
      <alignment horizontal="center" vertical="center"/>
    </xf>
    <xf numFmtId="0" fontId="3" fillId="4" borderId="3" xfId="3">
      <alignment horizontal="center" vertical="center"/>
    </xf>
    <xf numFmtId="0" fontId="3" fillId="0" borderId="3" xfId="4">
      <alignment horizontal="center" vertical="center"/>
    </xf>
    <xf numFmtId="0" fontId="0" fillId="0" borderId="0" xfId="0" applyAlignment="1">
      <alignment horizontal="center" vertical="center"/>
    </xf>
    <xf numFmtId="0" fontId="5" fillId="3" borderId="2" xfId="2" applyAlignment="1">
      <alignment horizontal="center" vertical="center" wrapText="1"/>
    </xf>
    <xf numFmtId="0" fontId="4" fillId="2" borderId="1" xfId="1" applyAlignment="1">
      <alignment horizontal="center" vertical="center"/>
    </xf>
    <xf numFmtId="0" fontId="6" fillId="2" borderId="4" xfId="1" applyFont="1" applyBorder="1" applyAlignment="1">
      <alignment vertical="center"/>
    </xf>
    <xf numFmtId="0" fontId="6" fillId="2" borderId="5" xfId="1" applyFont="1" applyBorder="1" applyAlignment="1">
      <alignment vertical="center"/>
    </xf>
    <xf numFmtId="0" fontId="6" fillId="2" borderId="6" xfId="1" applyFont="1" applyBorder="1" applyAlignment="1">
      <alignment vertical="center"/>
    </xf>
    <xf numFmtId="0" fontId="6" fillId="2" borderId="7" xfId="1" applyFont="1" applyBorder="1" applyAlignment="1">
      <alignment vertical="center"/>
    </xf>
    <xf numFmtId="0" fontId="5" fillId="3" borderId="2" xfId="2" applyAlignment="1">
      <alignment horizontal="center" vertical="center"/>
    </xf>
    <xf numFmtId="0" fontId="3" fillId="4" borderId="3" xfId="3" quotePrefix="1">
      <alignment horizontal="center" vertical="center"/>
    </xf>
  </cellXfs>
  <cellStyles count="5">
    <cellStyle name="Вычисление" xfId="1" builtinId="22"/>
    <cellStyle name="Контрольная ячейка" xfId="2" builtinId="23"/>
    <cellStyle name="названия" xfId="3" xr:uid="{7A2F6D91-793A-44D5-8089-9E4EE6BDE0FA}"/>
    <cellStyle name="Обычный" xfId="0" builtinId="0"/>
    <cellStyle name="число" xfId="4" xr:uid="{D57AF095-CC64-461E-A3A6-37C0366F84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183356</xdr:colOff>
      <xdr:row>6</xdr:row>
      <xdr:rowOff>35718</xdr:rowOff>
    </xdr:from>
    <xdr:ext cx="825226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4CB43ED-2B25-0F10-A404-9826633D6D05}"/>
                </a:ext>
              </a:extLst>
            </xdr:cNvPr>
            <xdr:cNvSpPr txBox="1"/>
          </xdr:nvSpPr>
          <xdr:spPr>
            <a:xfrm>
              <a:off x="183356" y="1121568"/>
              <a:ext cx="825226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t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0">
                          <a:latin typeface="Cambria Math" panose="02040503050406030204" pitchFamily="18" charset="0"/>
                        </a:rPr>
                        <m:t>(</m:t>
                      </m:r>
                      <m:acc>
                        <m:accPr>
                          <m:chr m:val="̅"/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m:rPr>
                              <m:sty m:val="p"/>
                            </m:rPr>
                            <a:rPr lang="en-US" sz="1100" b="0" i="0">
                              <a:latin typeface="Cambria Math" panose="02040503050406030204" pitchFamily="18" charset="0"/>
                            </a:rPr>
                            <m:t>x</m:t>
                          </m:r>
                        </m:e>
                      </m:acc>
                      <m:r>
                        <a:rPr lang="en-US" sz="1100" b="0" i="0">
                          <a:latin typeface="Cambria Math" panose="02040503050406030204" pitchFamily="18" charset="0"/>
                        </a:rPr>
                        <m:t> −</m:t>
                      </m:r>
                      <m:r>
                        <m:rPr>
                          <m:sty m:val="p"/>
                        </m:rPr>
                        <a:rPr lang="en-US" sz="1100" b="0" i="0">
                          <a:latin typeface="Cambria Math" panose="02040503050406030204" pitchFamily="18" charset="0"/>
                        </a:rPr>
                        <m:t>a</m:t>
                      </m:r>
                      <m:r>
                        <a:rPr lang="en-US" sz="1100" b="0" i="0">
                          <a:latin typeface="Cambria Math" panose="02040503050406030204" pitchFamily="18" charset="0"/>
                        </a:rPr>
                        <m:t>)</m:t>
                      </m:r>
                      <m:rad>
                        <m:radPr>
                          <m:degHide m:val="on"/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m:rPr>
                              <m:sty m:val="p"/>
                            </m:rPr>
                            <a:rPr lang="en-US" sz="1100" b="0" i="0">
                              <a:latin typeface="Cambria Math" panose="02040503050406030204" pitchFamily="18" charset="0"/>
                            </a:rPr>
                            <m:t>n</m:t>
                          </m:r>
                        </m:e>
                      </m:rad>
                    </m:num>
                    <m:den>
                      <m:r>
                        <m:rPr>
                          <m:sty m:val="p"/>
                        </m:rPr>
                        <a:rPr lang="el-GR" sz="1100" b="0" i="0">
                          <a:latin typeface="Cambria Math" panose="02040503050406030204" pitchFamily="18" charset="0"/>
                        </a:rPr>
                        <m:t>σ</m:t>
                      </m:r>
                    </m:den>
                  </m:f>
                </m:oMath>
              </a14:m>
              <a:r>
                <a:rPr lang="en-US" sz="1100" i="0"/>
                <a:t>  =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4CB43ED-2B25-0F10-A404-9826633D6D05}"/>
                </a:ext>
              </a:extLst>
            </xdr:cNvPr>
            <xdr:cNvSpPr txBox="1"/>
          </xdr:nvSpPr>
          <xdr:spPr>
            <a:xfrm>
              <a:off x="183356" y="1121568"/>
              <a:ext cx="825226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t=  ((x ̅  −a)√n)/</a:t>
              </a:r>
              <a:r>
                <a:rPr lang="el-GR" sz="1100" b="0" i="0">
                  <a:latin typeface="Cambria Math" panose="02040503050406030204" pitchFamily="18" charset="0"/>
                </a:rPr>
                <a:t>σ</a:t>
              </a:r>
              <a:r>
                <a:rPr lang="en-US" sz="1100" i="0"/>
                <a:t>  =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</xdr:colOff>
      <xdr:row>7</xdr:row>
      <xdr:rowOff>4762</xdr:rowOff>
    </xdr:from>
    <xdr:ext cx="1104085" cy="3476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6B7A2EC-FFA6-9FC0-6A36-A651CF1A1943}"/>
                </a:ext>
              </a:extLst>
            </xdr:cNvPr>
            <xdr:cNvSpPr txBox="1"/>
          </xdr:nvSpPr>
          <xdr:spPr>
            <a:xfrm>
              <a:off x="61912" y="1300162"/>
              <a:ext cx="1104085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  <m:rad>
                          <m:radPr>
                            <m:deg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num>
                      <m:den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</m:acc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6B7A2EC-FFA6-9FC0-6A36-A651CF1A1943}"/>
                </a:ext>
              </a:extLst>
            </xdr:cNvPr>
            <xdr:cNvSpPr txBox="1"/>
          </xdr:nvSpPr>
          <xdr:spPr>
            <a:xfrm>
              <a:off x="61912" y="1300162"/>
              <a:ext cx="1104085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𝑡=  ((𝑥 ̅  −𝑎)√𝑛)/𝑆 ̅ =</a:t>
              </a:r>
              <a:endParaRPr lang="en-US" sz="1100" b="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91984</xdr:colOff>
      <xdr:row>3</xdr:row>
      <xdr:rowOff>9083</xdr:rowOff>
    </xdr:from>
    <xdr:ext cx="101823" cy="1762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F9A4BE7-A029-1B7F-1C21-3DB287B1CC4F}"/>
                </a:ext>
              </a:extLst>
            </xdr:cNvPr>
            <xdr:cNvSpPr txBox="1"/>
          </xdr:nvSpPr>
          <xdr:spPr>
            <a:xfrm>
              <a:off x="91984" y="551696"/>
              <a:ext cx="101823" cy="176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</m:t>
                        </m:r>
                      </m:e>
                    </m:acc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F9A4BE7-A029-1B7F-1C21-3DB287B1CC4F}"/>
                </a:ext>
              </a:extLst>
            </xdr:cNvPr>
            <xdr:cNvSpPr txBox="1"/>
          </xdr:nvSpPr>
          <xdr:spPr>
            <a:xfrm>
              <a:off x="91984" y="551696"/>
              <a:ext cx="101823" cy="176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S ̅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0</xdr:col>
      <xdr:colOff>14729</xdr:colOff>
      <xdr:row>4</xdr:row>
      <xdr:rowOff>173708</xdr:rowOff>
    </xdr:from>
    <xdr:ext cx="756109" cy="3516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9E616F4-79D9-6DF7-361E-2D835FBEE66E}"/>
                </a:ext>
              </a:extLst>
            </xdr:cNvPr>
            <xdr:cNvSpPr txBox="1"/>
          </xdr:nvSpPr>
          <xdr:spPr>
            <a:xfrm>
              <a:off x="14729" y="900357"/>
              <a:ext cx="756109" cy="351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t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0">
                          <a:latin typeface="Cambria Math" panose="02040503050406030204" pitchFamily="18" charset="0"/>
                        </a:rPr>
                        <m:t>(</m:t>
                      </m:r>
                      <m:r>
                        <m:rPr>
                          <m:sty m:val="p"/>
                        </m:rPr>
                        <a:rPr lang="en-US" sz="1100" b="0" i="0">
                          <a:latin typeface="Cambria Math" panose="02040503050406030204" pitchFamily="18" charset="0"/>
                        </a:rPr>
                        <m:t>n</m:t>
                      </m:r>
                      <m:r>
                        <a:rPr lang="en-US" sz="1100" b="0" i="0">
                          <a:latin typeface="Cambria Math" panose="02040503050406030204" pitchFamily="18" charset="0"/>
                        </a:rPr>
                        <m:t> −</m:t>
                      </m:r>
                      <m:r>
                        <a:rPr lang="en-US" sz="1100" b="0" i="0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0">
                          <a:latin typeface="Cambria Math" panose="02040503050406030204" pitchFamily="18" charset="0"/>
                        </a:rPr>
                        <m:t>)</m:t>
                      </m:r>
                      <m:acc>
                        <m:accPr>
                          <m:chr m:val="̅"/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sSup>
                            <m:sSup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m:rPr>
                                  <m:sty m:val="p"/>
                                </m:rP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S</m:t>
                              </m:r>
                            </m:e>
                            <m:sup>
                              <m: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e>
                      </m:acc>
                    </m:num>
                    <m:den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m:rPr>
                              <m:sty m:val="p"/>
                            </m:rPr>
                            <a:rPr lang="el-GR" sz="1100" b="0" i="0">
                              <a:latin typeface="Cambria Math" panose="02040503050406030204" pitchFamily="18" charset="0"/>
                            </a:rPr>
                            <m:t>σ</m:t>
                          </m:r>
                          <m:r>
                            <a:rPr lang="el-GR" sz="1100" b="0" i="0">
                              <a:latin typeface="Cambria Math" panose="02040503050406030204" pitchFamily="18" charset="0"/>
                            </a:rPr>
                            <m:t>₀</m:t>
                          </m:r>
                        </m:e>
                        <m:sup>
                          <m:r>
                            <a:rPr lang="en-US" sz="1100" b="0" i="0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</m:den>
                  </m:f>
                </m:oMath>
              </a14:m>
              <a:r>
                <a:rPr lang="en-US" sz="1100" i="0"/>
                <a:t> </a:t>
              </a:r>
              <a:r>
                <a:rPr lang="en-US" sz="1200" i="0"/>
                <a:t>=</a:t>
              </a:r>
              <a:endParaRPr lang="ru-RU" sz="1200" i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9E616F4-79D9-6DF7-361E-2D835FBEE66E}"/>
                </a:ext>
              </a:extLst>
            </xdr:cNvPr>
            <xdr:cNvSpPr txBox="1"/>
          </xdr:nvSpPr>
          <xdr:spPr>
            <a:xfrm>
              <a:off x="14729" y="900357"/>
              <a:ext cx="756109" cy="351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100" b="0" i="0">
                  <a:latin typeface="Cambria Math" panose="02040503050406030204" pitchFamily="18" charset="0"/>
                </a:rPr>
                <a:t>t=((n −1)(S^2 ) ̅)/〖</a:t>
              </a:r>
              <a:r>
                <a:rPr lang="el-GR" sz="1100" b="0" i="0">
                  <a:latin typeface="Cambria Math" panose="02040503050406030204" pitchFamily="18" charset="0"/>
                </a:rPr>
                <a:t>σ₀</a:t>
              </a:r>
              <a:r>
                <a:rPr lang="en-US" sz="1100" b="0" i="0">
                  <a:latin typeface="Cambria Math" panose="02040503050406030204" pitchFamily="18" charset="0"/>
                </a:rPr>
                <a:t>〗^2 </a:t>
              </a:r>
              <a:r>
                <a:rPr lang="en-US" sz="1100" i="0"/>
                <a:t> </a:t>
              </a:r>
              <a:r>
                <a:rPr lang="en-US" sz="1200" i="0"/>
                <a:t>=</a:t>
              </a:r>
              <a:endParaRPr lang="ru-RU" sz="1200" i="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149595</xdr:colOff>
      <xdr:row>1</xdr:row>
      <xdr:rowOff>29420</xdr:rowOff>
    </xdr:from>
    <xdr:ext cx="140936" cy="185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435F9B4-791E-74E4-0AD1-EA3D5AA4C0FE}"/>
                </a:ext>
              </a:extLst>
            </xdr:cNvPr>
            <xdr:cNvSpPr txBox="1"/>
          </xdr:nvSpPr>
          <xdr:spPr>
            <a:xfrm>
              <a:off x="2952382" y="210967"/>
              <a:ext cx="140936" cy="185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y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</m:sSub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435F9B4-791E-74E4-0AD1-EA3D5AA4C0FE}"/>
                </a:ext>
              </a:extLst>
            </xdr:cNvPr>
            <xdr:cNvSpPr txBox="1"/>
          </xdr:nvSpPr>
          <xdr:spPr>
            <a:xfrm>
              <a:off x="2952382" y="210967"/>
              <a:ext cx="140936" cy="185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y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j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7</xdr:col>
      <xdr:colOff>144283</xdr:colOff>
      <xdr:row>2</xdr:row>
      <xdr:rowOff>19410</xdr:rowOff>
    </xdr:from>
    <xdr:ext cx="148567" cy="185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58C9063-3502-4194-4A8B-496046F6D20F}"/>
                </a:ext>
              </a:extLst>
            </xdr:cNvPr>
            <xdr:cNvSpPr txBox="1"/>
          </xdr:nvSpPr>
          <xdr:spPr>
            <a:xfrm>
              <a:off x="2944633" y="414698"/>
              <a:ext cx="148567" cy="185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n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</m:sSub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58C9063-3502-4194-4A8B-496046F6D20F}"/>
                </a:ext>
              </a:extLst>
            </xdr:cNvPr>
            <xdr:cNvSpPr txBox="1"/>
          </xdr:nvSpPr>
          <xdr:spPr>
            <a:xfrm>
              <a:off x="2944633" y="414698"/>
              <a:ext cx="148567" cy="185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n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j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7</xdr:col>
      <xdr:colOff>219075</xdr:colOff>
      <xdr:row>3</xdr:row>
      <xdr:rowOff>14287</xdr:rowOff>
    </xdr:from>
    <xdr:ext cx="171449" cy="1857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B15A34E-B8D0-5C88-E82F-03E132BC712F}"/>
                </a:ext>
              </a:extLst>
            </xdr:cNvPr>
            <xdr:cNvSpPr txBox="1"/>
          </xdr:nvSpPr>
          <xdr:spPr>
            <a:xfrm>
              <a:off x="3019425" y="614362"/>
              <a:ext cx="171449" cy="1857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righ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n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</m:sSub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B15A34E-B8D0-5C88-E82F-03E132BC712F}"/>
                </a:ext>
              </a:extLst>
            </xdr:cNvPr>
            <xdr:cNvSpPr txBox="1"/>
          </xdr:nvSpPr>
          <xdr:spPr>
            <a:xfrm>
              <a:off x="3019425" y="614362"/>
              <a:ext cx="171449" cy="1857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n_j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7</xdr:col>
      <xdr:colOff>47626</xdr:colOff>
      <xdr:row>3</xdr:row>
      <xdr:rowOff>19050</xdr:rowOff>
    </xdr:from>
    <xdr:ext cx="166687" cy="185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BF6F64A-5D25-064B-C651-E77ABCF86EB0}"/>
                </a:ext>
              </a:extLst>
            </xdr:cNvPr>
            <xdr:cNvSpPr txBox="1"/>
          </xdr:nvSpPr>
          <xdr:spPr>
            <a:xfrm>
              <a:off x="2847976" y="619125"/>
              <a:ext cx="166687" cy="185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y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j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BF6F64A-5D25-064B-C651-E77ABCF86EB0}"/>
                </a:ext>
              </a:extLst>
            </xdr:cNvPr>
            <xdr:cNvSpPr txBox="1"/>
          </xdr:nvSpPr>
          <xdr:spPr>
            <a:xfrm>
              <a:off x="2847976" y="619125"/>
              <a:ext cx="166687" cy="185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y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j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21430</xdr:colOff>
      <xdr:row>5</xdr:row>
      <xdr:rowOff>28574</xdr:rowOff>
    </xdr:from>
    <xdr:ext cx="931070" cy="4750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7F3273D-A177-FCE0-619F-E940A5DCBEDF}"/>
                </a:ext>
              </a:extLst>
            </xdr:cNvPr>
            <xdr:cNvSpPr txBox="1"/>
          </xdr:nvSpPr>
          <xdr:spPr>
            <a:xfrm>
              <a:off x="1221580" y="1033462"/>
              <a:ext cx="931070" cy="4750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x</m:t>
                        </m:r>
                      </m:e>
                    </m:acc>
                    <m:r>
                      <a:rPr lang="en-US" sz="11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n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sub>
                        </m:sSub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23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n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7F3273D-A177-FCE0-619F-E940A5DCBEDF}"/>
                </a:ext>
              </a:extLst>
            </xdr:cNvPr>
            <xdr:cNvSpPr txBox="1"/>
          </xdr:nvSpPr>
          <xdr:spPr>
            <a:xfrm>
              <a:off x="1221580" y="1033462"/>
              <a:ext cx="931070" cy="4750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x ̅=  1/n_x   ∑24_(i=1)^3▒〖x_i n_i 〗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7</xdr:col>
      <xdr:colOff>7142</xdr:colOff>
      <xdr:row>5</xdr:row>
      <xdr:rowOff>23811</xdr:rowOff>
    </xdr:from>
    <xdr:ext cx="902495" cy="4964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5E6A7FF-CDBD-2C52-0EAD-C59167CE758E}"/>
                </a:ext>
              </a:extLst>
            </xdr:cNvPr>
            <xdr:cNvSpPr txBox="1"/>
          </xdr:nvSpPr>
          <xdr:spPr>
            <a:xfrm>
              <a:off x="3017042" y="1028699"/>
              <a:ext cx="902495" cy="4964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y</m:t>
                        </m:r>
                      </m:e>
                    </m:acc>
                    <m:r>
                      <a:rPr lang="en-US" sz="11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n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j</m:t>
                            </m:r>
                          </m:sub>
                        </m:sSub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23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j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y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j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n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j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5E6A7FF-CDBD-2C52-0EAD-C59167CE758E}"/>
                </a:ext>
              </a:extLst>
            </xdr:cNvPr>
            <xdr:cNvSpPr txBox="1"/>
          </xdr:nvSpPr>
          <xdr:spPr>
            <a:xfrm>
              <a:off x="3017042" y="1028699"/>
              <a:ext cx="902495" cy="4964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y ̅=  1/n_j   ∑24_(j=1)^4▒〖y_j n_j 〗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6</xdr:col>
      <xdr:colOff>450057</xdr:colOff>
      <xdr:row>8</xdr:row>
      <xdr:rowOff>4761</xdr:rowOff>
    </xdr:from>
    <xdr:ext cx="512897" cy="1791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ABA2FE5-B5DF-0F6A-ED6A-15721AD7CD22}"/>
                </a:ext>
              </a:extLst>
            </xdr:cNvPr>
            <xdr:cNvSpPr txBox="1"/>
          </xdr:nvSpPr>
          <xdr:spPr>
            <a:xfrm>
              <a:off x="2850357" y="1552574"/>
              <a:ext cx="512897" cy="1791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000" b="0" i="0">
                                <a:latin typeface="Cambria Math" panose="02040503050406030204" pitchFamily="18" charset="0"/>
                              </a:rPr>
                              <m:t>y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000" b="0" i="0">
                                <a:latin typeface="Cambria Math" panose="02040503050406030204" pitchFamily="18" charset="0"/>
                              </a:rPr>
                              <m:t>j</m:t>
                            </m:r>
                          </m:sub>
                        </m:sSub>
                        <m:r>
                          <a:rPr lang="en-US" sz="1000" b="0" i="0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m:rPr>
                                <m:sty m:val="p"/>
                              </m:rPr>
                              <a:rPr lang="en-US" sz="1000" b="0" i="0">
                                <a:latin typeface="Cambria Math" panose="02040503050406030204" pitchFamily="18" charset="0"/>
                              </a:rPr>
                              <m:t>y</m:t>
                            </m:r>
                          </m:e>
                        </m:acc>
                      </m:e>
                    </m:d>
                    <m:r>
                      <a:rPr lang="en-US" sz="1000" b="0" i="0">
                        <a:latin typeface="Cambria Math" panose="02040503050406030204" pitchFamily="18" charset="0"/>
                      </a:rPr>
                      <m:t>²</m:t>
                    </m:r>
                  </m:oMath>
                </m:oMathPara>
              </a14:m>
              <a:endParaRPr lang="ru-RU" sz="1000" i="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ABA2FE5-B5DF-0F6A-ED6A-15721AD7CD22}"/>
                </a:ext>
              </a:extLst>
            </xdr:cNvPr>
            <xdr:cNvSpPr txBox="1"/>
          </xdr:nvSpPr>
          <xdr:spPr>
            <a:xfrm>
              <a:off x="2850357" y="1552574"/>
              <a:ext cx="512897" cy="1791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(y_j−y ̅ )²</a:t>
              </a:r>
              <a:endParaRPr lang="ru-RU" sz="1000" i="0"/>
            </a:p>
          </xdr:txBody>
        </xdr:sp>
      </mc:Fallback>
    </mc:AlternateContent>
    <xdr:clientData/>
  </xdr:oneCellAnchor>
  <xdr:oneCellAnchor>
    <xdr:from>
      <xdr:col>2</xdr:col>
      <xdr:colOff>392906</xdr:colOff>
      <xdr:row>8</xdr:row>
      <xdr:rowOff>9524</xdr:rowOff>
    </xdr:from>
    <xdr:ext cx="502510" cy="1582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1E58519-4821-79DA-2988-89859112460F}"/>
                </a:ext>
              </a:extLst>
            </xdr:cNvPr>
            <xdr:cNvSpPr txBox="1"/>
          </xdr:nvSpPr>
          <xdr:spPr>
            <a:xfrm>
              <a:off x="1193006" y="1557337"/>
              <a:ext cx="502510" cy="1582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i</m:t>
                            </m:r>
                          </m:sub>
                        </m:sSub>
                        <m:r>
                          <a:rPr lang="en-US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m:rPr>
                                <m:sty m:val="p"/>
                              </m:rPr>
                              <a:rPr lang="en-US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x</m:t>
                            </m:r>
                          </m:e>
                        </m:acc>
                      </m:e>
                    </m:d>
                    <m:r>
                      <a:rPr lang="en-US" sz="10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²</m:t>
                    </m:r>
                  </m:oMath>
                </m:oMathPara>
              </a14:m>
              <a:endParaRPr lang="ru-RU" sz="1000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1E58519-4821-79DA-2988-89859112460F}"/>
                </a:ext>
              </a:extLst>
            </xdr:cNvPr>
            <xdr:cNvSpPr txBox="1"/>
          </xdr:nvSpPr>
          <xdr:spPr>
            <a:xfrm>
              <a:off x="1193006" y="1557337"/>
              <a:ext cx="502510" cy="1582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x</a:t>
              </a:r>
              <a:r>
                <a:rPr lang="en-U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</a:t>
              </a:r>
              <a:r>
                <a:rPr lang="en-U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n-US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x</a:t>
              </a:r>
              <a:r>
                <a:rPr lang="en-U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̅ )²</a:t>
              </a:r>
              <a:endParaRPr lang="ru-RU" sz="1000">
                <a:effectLst/>
              </a:endParaRPr>
            </a:p>
          </xdr:txBody>
        </xdr:sp>
      </mc:Fallback>
    </mc:AlternateContent>
    <xdr:clientData/>
  </xdr:oneCellAnchor>
  <xdr:oneCellAnchor>
    <xdr:from>
      <xdr:col>12</xdr:col>
      <xdr:colOff>78581</xdr:colOff>
      <xdr:row>6</xdr:row>
      <xdr:rowOff>28574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1670547-4EA9-1FA4-C24A-869C4EE74EA2}"/>
            </a:ext>
          </a:extLst>
        </xdr:cNvPr>
        <xdr:cNvSpPr txBox="1"/>
      </xdr:nvSpPr>
      <xdr:spPr>
        <a:xfrm>
          <a:off x="5288756" y="1214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352425</xdr:colOff>
      <xdr:row>9</xdr:row>
      <xdr:rowOff>14287</xdr:rowOff>
    </xdr:from>
    <xdr:ext cx="1017019" cy="528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0D3F60C-C824-9A1B-64A4-B79354F09151}"/>
                </a:ext>
              </a:extLst>
            </xdr:cNvPr>
            <xdr:cNvSpPr txBox="1"/>
          </xdr:nvSpPr>
          <xdr:spPr>
            <a:xfrm>
              <a:off x="1552575" y="1743075"/>
              <a:ext cx="1017019" cy="528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23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x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i</m:t>
                                </m:r>
                              </m:sub>
                            </m:sSub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x</m:t>
                                </m:r>
                              </m:e>
                            </m:acc>
                          </m:e>
                        </m:d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²</m:t>
                        </m:r>
                        <m:r>
                          <m:rPr>
                            <m:nor/>
                          </m:rPr>
                          <a:rPr lang="ru-RU" i="0">
                            <a:effectLst/>
                          </a:rPr>
                          <m:t> </m:t>
                        </m:r>
                      </m:e>
                    </m:nary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0D3F60C-C824-9A1B-64A4-B79354F09151}"/>
                </a:ext>
              </a:extLst>
            </xdr:cNvPr>
            <xdr:cNvSpPr txBox="1"/>
          </xdr:nvSpPr>
          <xdr:spPr>
            <a:xfrm>
              <a:off x="1552575" y="1743075"/>
              <a:ext cx="1017019" cy="528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∑24_(</a:t>
              </a:r>
              <a:r>
                <a:rPr lang="en-US" sz="1100" b="0" i="0">
                  <a:latin typeface="Cambria Math" panose="02040503050406030204" pitchFamily="18" charset="0"/>
                </a:rPr>
                <a:t>i=1</a:t>
              </a:r>
              <a:r>
                <a:rPr lang="ru-RU" sz="1100" b="0" i="0">
                  <a:latin typeface="Cambria Math" panose="02040503050406030204" pitchFamily="18" charset="0"/>
                </a:rPr>
                <a:t>)^</a:t>
              </a:r>
              <a:r>
                <a:rPr lang="en-US" sz="1100" b="0" i="0">
                  <a:latin typeface="Cambria Math" panose="02040503050406030204" pitchFamily="18" charset="0"/>
                </a:rPr>
                <a:t>3</a:t>
              </a:r>
              <a:r>
                <a:rPr lang="ru-RU" sz="1100" b="0" i="0">
                  <a:latin typeface="Cambria Math" panose="02040503050406030204" pitchFamily="18" charset="0"/>
                </a:rPr>
                <a:t>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(x_i−x ̅ )²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ru-RU" i="0">
                  <a:effectLst/>
                </a:rPr>
                <a:t> </a:t>
              </a:r>
              <a:r>
                <a:rPr lang="ru-RU" sz="1100" i="0">
                  <a:effectLst/>
                  <a:latin typeface="Cambria Math" panose="02040503050406030204" pitchFamily="18" charset="0"/>
                </a:rPr>
                <a:t>" 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2</xdr:col>
      <xdr:colOff>176213</xdr:colOff>
      <xdr:row>9</xdr:row>
      <xdr:rowOff>14287</xdr:rowOff>
    </xdr:from>
    <xdr:ext cx="838132" cy="528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1131854-876E-CDE1-9F2A-97D78006158C}"/>
                </a:ext>
              </a:extLst>
            </xdr:cNvPr>
            <xdr:cNvSpPr txBox="1"/>
          </xdr:nvSpPr>
          <xdr:spPr>
            <a:xfrm>
              <a:off x="976313" y="1743075"/>
              <a:ext cx="838132" cy="528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sSubSup>
                          <m:sSub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S</m:t>
                            </m:r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̅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x</m:t>
                            </m:r>
                          </m:sub>
                          <m:sup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e>
                    </m:bar>
                    <m:r>
                      <m:rPr>
                        <m:nor/>
                      </m:rPr>
                      <a:rPr lang="en-US" sz="110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= 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n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x</m:t>
                            </m:r>
                          </m:sub>
                        </m:sSub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1131854-876E-CDE1-9F2A-97D78006158C}"/>
                </a:ext>
              </a:extLst>
            </xdr:cNvPr>
            <xdr:cNvSpPr txBox="1"/>
          </xdr:nvSpPr>
          <xdr:spPr>
            <a:xfrm>
              <a:off x="976313" y="1743075"/>
              <a:ext cx="838132" cy="528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¯(〖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S̅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x^2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=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1/(n_x−1)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192880</xdr:colOff>
      <xdr:row>9</xdr:row>
      <xdr:rowOff>1</xdr:rowOff>
    </xdr:from>
    <xdr:ext cx="711926" cy="5381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0D2C7D6-DF38-825A-3EAE-77907655C4D8}"/>
                </a:ext>
              </a:extLst>
            </xdr:cNvPr>
            <xdr:cNvSpPr txBox="1"/>
          </xdr:nvSpPr>
          <xdr:spPr>
            <a:xfrm>
              <a:off x="3202780" y="1728789"/>
              <a:ext cx="711926" cy="538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sSubSup>
                          <m:sSub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S</m:t>
                            </m:r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̅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y</m:t>
                            </m:r>
                          </m:sub>
                          <m:sup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e>
                    </m:bar>
                    <m:r>
                      <m:rPr>
                        <m:nor/>
                      </m:rPr>
                      <a:rPr lang="en-US" sz="110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= 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n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y</m:t>
                            </m:r>
                          </m:sub>
                        </m:sSub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0D2C7D6-DF38-825A-3EAE-77907655C4D8}"/>
                </a:ext>
              </a:extLst>
            </xdr:cNvPr>
            <xdr:cNvSpPr txBox="1"/>
          </xdr:nvSpPr>
          <xdr:spPr>
            <a:xfrm>
              <a:off x="3202780" y="1728789"/>
              <a:ext cx="711926" cy="538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¯(〖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S̅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y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=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1/(n_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y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2381</xdr:colOff>
      <xdr:row>9</xdr:row>
      <xdr:rowOff>4763</xdr:rowOff>
    </xdr:from>
    <xdr:ext cx="783227" cy="5476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2C49A4A-C95D-0BF2-553E-F57DFBA4ADF7}"/>
                </a:ext>
              </a:extLst>
            </xdr:cNvPr>
            <xdr:cNvSpPr txBox="1"/>
          </xdr:nvSpPr>
          <xdr:spPr>
            <a:xfrm>
              <a:off x="3917156" y="1733551"/>
              <a:ext cx="783227" cy="547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j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p>
                      <m:e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y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j</m:t>
                                </m:r>
                              </m:sub>
                            </m:sSub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y</m:t>
                                </m:r>
                              </m:e>
                            </m:acc>
                          </m:e>
                        </m:d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²</m:t>
                        </m:r>
                        <m:r>
                          <m:rPr>
                            <m:nor/>
                          </m:rPr>
                          <a:rPr lang="ru-RU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2C49A4A-C95D-0BF2-553E-F57DFBA4ADF7}"/>
                </a:ext>
              </a:extLst>
            </xdr:cNvPr>
            <xdr:cNvSpPr txBox="1"/>
          </xdr:nvSpPr>
          <xdr:spPr>
            <a:xfrm>
              <a:off x="3917156" y="1733551"/>
              <a:ext cx="783227" cy="547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j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y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j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y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̅ )²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"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59531</xdr:colOff>
      <xdr:row>13</xdr:row>
      <xdr:rowOff>19049</xdr:rowOff>
    </xdr:from>
    <xdr:ext cx="1839478" cy="6789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77A7CD-7DED-0645-2216-2427EE6DF9E4}"/>
                </a:ext>
              </a:extLst>
            </xdr:cNvPr>
            <xdr:cNvSpPr txBox="1"/>
          </xdr:nvSpPr>
          <xdr:spPr>
            <a:xfrm>
              <a:off x="59531" y="2471737"/>
              <a:ext cx="1839478" cy="678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̅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bar>
                                  <m:barPr>
                                    <m:pos m:val="top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barPr>
                                  <m:e>
                                    <m:sSubSup>
                                      <m:sSubSup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𝑆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sub>
                                      <m:sup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bSup>
                                  </m:e>
                                </m:ba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sub>
                                </m:sSub>
                                <m:bar>
                                  <m:barPr>
                                    <m:pos m:val="top"/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barPr>
                                  <m:e>
                                    <m:sSubSup>
                                      <m:sSubSup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𝑆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𝑦</m:t>
                                        </m:r>
                                      </m:sub>
                                      <m:sup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bSup>
                                  </m:e>
                                </m:bar>
                              </m:num>
                              <m:den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sub>
                                    </m:sSub>
                                  </m:den>
                                </m:f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77A7CD-7DED-0645-2216-2427EE6DF9E4}"/>
                </a:ext>
              </a:extLst>
            </xdr:cNvPr>
            <xdr:cNvSpPr txBox="1"/>
          </xdr:nvSpPr>
          <xdr:spPr>
            <a:xfrm>
              <a:off x="59531" y="2471737"/>
              <a:ext cx="1839478" cy="678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𝑡=  (𝑥 ̅−𝑦̅)/√((𝑛_𝑥 ¯(𝑆_𝑥^2 )+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¯(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latin typeface="Cambria Math" panose="02040503050406030204" pitchFamily="18" charset="0"/>
                </a:rPr>
                <a:t>𝑛_𝑥+𝑛_𝑦−2) (1/𝑛_𝑥 +1/𝑛_𝑦 ) )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U21" sqref="U21"/>
    </sheetView>
  </sheetViews>
  <sheetFormatPr defaultColWidth="5.59765625" defaultRowHeight="14.25" x14ac:dyDescent="0.45"/>
  <cols>
    <col min="1" max="2" width="5.59765625" style="2"/>
    <col min="3" max="3" width="6.53125" style="2" bestFit="1" customWidth="1"/>
    <col min="4" max="16384" width="5.59765625" style="2"/>
  </cols>
  <sheetData>
    <row r="1" spans="1:7" x14ac:dyDescent="0.45">
      <c r="A1" s="5" t="s">
        <v>0</v>
      </c>
      <c r="B1" s="6">
        <v>9</v>
      </c>
    </row>
    <row r="2" spans="1:7" x14ac:dyDescent="0.45">
      <c r="A2" s="5" t="s">
        <v>37</v>
      </c>
      <c r="B2" s="6">
        <v>48</v>
      </c>
    </row>
    <row r="3" spans="1:7" x14ac:dyDescent="0.45">
      <c r="A3" s="5" t="s">
        <v>38</v>
      </c>
      <c r="B3" s="6">
        <v>9</v>
      </c>
      <c r="C3" s="7" t="s">
        <v>3</v>
      </c>
      <c r="D3" s="7"/>
    </row>
    <row r="4" spans="1:7" x14ac:dyDescent="0.45">
      <c r="A4" s="5" t="s">
        <v>2</v>
      </c>
      <c r="B4" s="6">
        <v>0.95</v>
      </c>
    </row>
    <row r="5" spans="1:7" x14ac:dyDescent="0.45">
      <c r="A5" s="5" t="s">
        <v>1</v>
      </c>
      <c r="B5" s="6">
        <v>49</v>
      </c>
      <c r="C5" s="7" t="s">
        <v>14</v>
      </c>
      <c r="D5" s="10"/>
    </row>
    <row r="7" spans="1:7" x14ac:dyDescent="0.45">
      <c r="A7" s="8"/>
      <c r="B7" s="8"/>
      <c r="C7" s="8"/>
      <c r="D7" s="9">
        <f>((B2-B5)*SQRT(B1))/SQRT(B3)</f>
        <v>-1</v>
      </c>
    </row>
    <row r="8" spans="1:7" x14ac:dyDescent="0.45">
      <c r="A8" s="8"/>
      <c r="B8" s="8"/>
      <c r="C8" s="8"/>
      <c r="D8" s="9"/>
      <c r="F8" s="5" t="s">
        <v>6</v>
      </c>
      <c r="G8" s="6">
        <f>ABS(D7)</f>
        <v>1</v>
      </c>
    </row>
    <row r="10" spans="1:7" x14ac:dyDescent="0.45">
      <c r="A10" s="10" t="s">
        <v>4</v>
      </c>
      <c r="B10" s="10"/>
      <c r="C10" s="8" t="s">
        <v>39</v>
      </c>
      <c r="D10" s="8"/>
    </row>
    <row r="12" spans="1:7" x14ac:dyDescent="0.45">
      <c r="A12" s="10" t="s">
        <v>15</v>
      </c>
      <c r="B12" s="10"/>
      <c r="C12" s="10"/>
      <c r="D12" s="10"/>
      <c r="E12" s="10"/>
      <c r="F12" s="10"/>
    </row>
    <row r="14" spans="1:7" x14ac:dyDescent="0.45">
      <c r="A14" s="10" t="s">
        <v>5</v>
      </c>
      <c r="B14" s="10"/>
      <c r="C14" s="8" t="s">
        <v>34</v>
      </c>
      <c r="D14" s="8"/>
      <c r="E14" s="8"/>
    </row>
    <row r="15" spans="1:7" ht="14.65" thickBot="1" x14ac:dyDescent="0.5"/>
    <row r="16" spans="1:7" ht="15" thickTop="1" thickBot="1" x14ac:dyDescent="0.5">
      <c r="A16" s="11" t="s">
        <v>23</v>
      </c>
      <c r="B16" s="11"/>
      <c r="C16" s="11"/>
      <c r="D16" s="11"/>
      <c r="E16" s="11"/>
      <c r="F16" s="11"/>
    </row>
    <row r="17" spans="1:6" ht="15" thickTop="1" thickBot="1" x14ac:dyDescent="0.5">
      <c r="A17" s="11"/>
      <c r="B17" s="11"/>
      <c r="C17" s="11"/>
      <c r="D17" s="11"/>
      <c r="E17" s="11"/>
      <c r="F17" s="11"/>
    </row>
    <row r="18" spans="1:6" ht="14.65" thickTop="1" x14ac:dyDescent="0.45"/>
  </sheetData>
  <mergeCells count="10">
    <mergeCell ref="A12:F12"/>
    <mergeCell ref="C5:D5"/>
    <mergeCell ref="A14:B14"/>
    <mergeCell ref="A16:F17"/>
    <mergeCell ref="C14:E14"/>
    <mergeCell ref="C3:D3"/>
    <mergeCell ref="A7:C8"/>
    <mergeCell ref="D7:D8"/>
    <mergeCell ref="A10:B10"/>
    <mergeCell ref="C10:D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95E9-B829-44EA-844C-75EBC57555A5}">
  <dimension ref="A1:H19"/>
  <sheetViews>
    <sheetView workbookViewId="0">
      <selection activeCell="X23" sqref="X23"/>
    </sheetView>
  </sheetViews>
  <sheetFormatPr defaultColWidth="5.59765625" defaultRowHeight="14.25" x14ac:dyDescent="0.45"/>
  <cols>
    <col min="1" max="2" width="5.59765625" style="2"/>
    <col min="3" max="3" width="6.59765625" style="2" customWidth="1"/>
    <col min="4" max="16384" width="5.59765625" style="2"/>
  </cols>
  <sheetData>
    <row r="1" spans="1:8" x14ac:dyDescent="0.45">
      <c r="A1" s="5" t="s">
        <v>7</v>
      </c>
      <c r="B1" s="6">
        <v>187.5</v>
      </c>
      <c r="C1" s="2" t="s">
        <v>8</v>
      </c>
    </row>
    <row r="2" spans="1:8" x14ac:dyDescent="0.45">
      <c r="A2" s="5" t="s">
        <v>0</v>
      </c>
      <c r="B2" s="6">
        <v>10</v>
      </c>
    </row>
    <row r="3" spans="1:8" x14ac:dyDescent="0.45">
      <c r="A3" s="5" t="s">
        <v>37</v>
      </c>
      <c r="B3" s="6">
        <v>175</v>
      </c>
      <c r="C3" s="2" t="s">
        <v>8</v>
      </c>
      <c r="D3" s="7" t="s">
        <v>10</v>
      </c>
      <c r="E3" s="10"/>
    </row>
    <row r="4" spans="1:8" ht="16.5" customHeight="1" x14ac:dyDescent="0.45">
      <c r="A4" s="5" t="s">
        <v>40</v>
      </c>
      <c r="B4" s="6">
        <v>35</v>
      </c>
      <c r="C4" s="2" t="s">
        <v>8</v>
      </c>
    </row>
    <row r="5" spans="1:8" x14ac:dyDescent="0.45">
      <c r="A5" s="5" t="s">
        <v>41</v>
      </c>
      <c r="B5" s="6">
        <v>0.05</v>
      </c>
      <c r="C5" s="3" t="s">
        <v>9</v>
      </c>
      <c r="D5" s="5" t="s">
        <v>2</v>
      </c>
      <c r="E5" s="6">
        <v>0.95</v>
      </c>
    </row>
    <row r="6" spans="1:8" x14ac:dyDescent="0.45">
      <c r="A6" s="5" t="s">
        <v>42</v>
      </c>
      <c r="B6" s="9" t="s">
        <v>11</v>
      </c>
      <c r="C6" s="9"/>
    </row>
    <row r="8" spans="1:8" x14ac:dyDescent="0.45">
      <c r="A8" s="8"/>
      <c r="B8" s="8"/>
      <c r="C8" s="8"/>
      <c r="D8" s="9">
        <f>((B3-B1)*SQRT(B2))/B4</f>
        <v>-1.1293848786315641</v>
      </c>
      <c r="E8" s="9"/>
    </row>
    <row r="9" spans="1:8" x14ac:dyDescent="0.45">
      <c r="A9" s="8"/>
      <c r="B9" s="8"/>
      <c r="C9" s="8"/>
      <c r="D9" s="9"/>
      <c r="E9" s="9"/>
      <c r="G9" s="5" t="s">
        <v>6</v>
      </c>
      <c r="H9" s="6">
        <f>ABS(D8)</f>
        <v>1.1293848786315641</v>
      </c>
    </row>
    <row r="11" spans="1:8" x14ac:dyDescent="0.45">
      <c r="A11" s="10" t="s">
        <v>12</v>
      </c>
      <c r="B11" s="10"/>
      <c r="C11" s="8" t="s">
        <v>43</v>
      </c>
      <c r="D11" s="8"/>
      <c r="E11" s="8"/>
    </row>
    <row r="13" spans="1:8" x14ac:dyDescent="0.45">
      <c r="A13" s="10" t="s">
        <v>13</v>
      </c>
      <c r="B13" s="10"/>
      <c r="C13" s="10"/>
      <c r="D13" s="10"/>
      <c r="E13" s="10"/>
      <c r="F13" s="10"/>
      <c r="G13" s="1"/>
    </row>
    <row r="15" spans="1:8" x14ac:dyDescent="0.45">
      <c r="A15" s="10" t="s">
        <v>5</v>
      </c>
      <c r="B15" s="10"/>
      <c r="C15" s="8" t="s">
        <v>16</v>
      </c>
      <c r="D15" s="8"/>
      <c r="E15" s="8"/>
    </row>
    <row r="16" spans="1:8" ht="14.65" thickBot="1" x14ac:dyDescent="0.5"/>
    <row r="17" spans="1:6" ht="15" thickTop="1" thickBot="1" x14ac:dyDescent="0.5">
      <c r="A17" s="11" t="s">
        <v>23</v>
      </c>
      <c r="B17" s="11"/>
      <c r="C17" s="11"/>
      <c r="D17" s="11"/>
      <c r="E17" s="11"/>
      <c r="F17" s="11"/>
    </row>
    <row r="18" spans="1:6" ht="15" thickTop="1" thickBot="1" x14ac:dyDescent="0.5">
      <c r="A18" s="11"/>
      <c r="B18" s="11"/>
      <c r="C18" s="11"/>
      <c r="D18" s="11"/>
      <c r="E18" s="11"/>
      <c r="F18" s="11"/>
    </row>
    <row r="19" spans="1:6" ht="14.65" thickTop="1" x14ac:dyDescent="0.45"/>
  </sheetData>
  <mergeCells count="10">
    <mergeCell ref="A13:F13"/>
    <mergeCell ref="A15:B15"/>
    <mergeCell ref="C15:E15"/>
    <mergeCell ref="A17:F18"/>
    <mergeCell ref="D3:E3"/>
    <mergeCell ref="B6:C6"/>
    <mergeCell ref="A8:C9"/>
    <mergeCell ref="D8:E9"/>
    <mergeCell ref="A11:B11"/>
    <mergeCell ref="C11:E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317A-EFA7-4958-969A-6B3EF674774D}">
  <dimension ref="A1:F19"/>
  <sheetViews>
    <sheetView zoomScale="97" workbookViewId="0">
      <selection activeCell="M21" sqref="M21"/>
    </sheetView>
  </sheetViews>
  <sheetFormatPr defaultColWidth="5.59765625" defaultRowHeight="14.25" x14ac:dyDescent="0.45"/>
  <cols>
    <col min="1" max="16384" width="5.59765625" style="2"/>
  </cols>
  <sheetData>
    <row r="1" spans="1:6" x14ac:dyDescent="0.45">
      <c r="A1" s="5" t="s">
        <v>44</v>
      </c>
      <c r="B1" s="6">
        <v>0.15</v>
      </c>
      <c r="C1" s="7" t="s">
        <v>10</v>
      </c>
      <c r="D1" s="10"/>
    </row>
    <row r="2" spans="1:6" x14ac:dyDescent="0.45">
      <c r="A2" s="5" t="s">
        <v>17</v>
      </c>
      <c r="B2" s="6">
        <v>25</v>
      </c>
    </row>
    <row r="3" spans="1:6" x14ac:dyDescent="0.45">
      <c r="A3" s="5" t="s">
        <v>45</v>
      </c>
      <c r="B3" s="6">
        <v>0.1</v>
      </c>
      <c r="C3" s="3" t="s">
        <v>9</v>
      </c>
      <c r="D3" s="5" t="s">
        <v>29</v>
      </c>
      <c r="E3" s="6">
        <f>1-B3</f>
        <v>0.9</v>
      </c>
    </row>
    <row r="4" spans="1:6" x14ac:dyDescent="0.45">
      <c r="A4" s="5" t="s">
        <v>18</v>
      </c>
      <c r="B4" s="6">
        <v>0.25</v>
      </c>
    </row>
    <row r="6" spans="1:6" x14ac:dyDescent="0.45">
      <c r="A6" s="8"/>
      <c r="B6" s="8"/>
      <c r="C6" s="9">
        <f>((B2-1)*B4)/B1</f>
        <v>40</v>
      </c>
      <c r="D6" s="1"/>
    </row>
    <row r="7" spans="1:6" x14ac:dyDescent="0.45">
      <c r="A7" s="8"/>
      <c r="B7" s="8"/>
      <c r="C7" s="9"/>
      <c r="D7" s="1"/>
      <c r="E7" s="5" t="s">
        <v>20</v>
      </c>
      <c r="F7" s="6">
        <f>ABS(C6)</f>
        <v>40</v>
      </c>
    </row>
    <row r="8" spans="1:6" x14ac:dyDescent="0.45">
      <c r="D8" s="1"/>
    </row>
    <row r="9" spans="1:6" x14ac:dyDescent="0.45">
      <c r="A9" s="8" t="s">
        <v>46</v>
      </c>
      <c r="B9" s="8"/>
      <c r="C9" s="8"/>
      <c r="D9" s="1"/>
    </row>
    <row r="11" spans="1:6" x14ac:dyDescent="0.45">
      <c r="A11" s="10" t="s">
        <v>24</v>
      </c>
      <c r="B11" s="10"/>
      <c r="C11" s="8" t="s">
        <v>47</v>
      </c>
      <c r="D11" s="8"/>
      <c r="E11" s="1"/>
    </row>
    <row r="13" spans="1:6" x14ac:dyDescent="0.45">
      <c r="A13" s="10" t="s">
        <v>19</v>
      </c>
      <c r="B13" s="10"/>
      <c r="C13" s="10"/>
      <c r="D13" s="10"/>
      <c r="E13" s="10"/>
      <c r="F13" s="10"/>
    </row>
    <row r="15" spans="1:6" x14ac:dyDescent="0.45">
      <c r="A15" s="10" t="s">
        <v>21</v>
      </c>
      <c r="B15" s="10"/>
      <c r="C15" s="8" t="s">
        <v>22</v>
      </c>
      <c r="D15" s="8"/>
      <c r="E15" s="8"/>
    </row>
    <row r="16" spans="1:6" ht="14.65" thickBot="1" x14ac:dyDescent="0.5"/>
    <row r="17" spans="1:6" ht="15" thickTop="1" thickBot="1" x14ac:dyDescent="0.5">
      <c r="A17" s="11" t="s">
        <v>35</v>
      </c>
      <c r="B17" s="11"/>
      <c r="C17" s="11"/>
      <c r="D17" s="11"/>
      <c r="E17" s="11"/>
      <c r="F17" s="11"/>
    </row>
    <row r="18" spans="1:6" ht="15" thickTop="1" thickBot="1" x14ac:dyDescent="0.5">
      <c r="A18" s="11"/>
      <c r="B18" s="11"/>
      <c r="C18" s="11"/>
      <c r="D18" s="11"/>
      <c r="E18" s="11"/>
      <c r="F18" s="11"/>
    </row>
    <row r="19" spans="1:6" ht="14.65" thickTop="1" x14ac:dyDescent="0.45"/>
  </sheetData>
  <mergeCells count="10">
    <mergeCell ref="A15:B15"/>
    <mergeCell ref="C15:E15"/>
    <mergeCell ref="A17:F18"/>
    <mergeCell ref="A9:C9"/>
    <mergeCell ref="C11:D11"/>
    <mergeCell ref="A6:B7"/>
    <mergeCell ref="C6:C7"/>
    <mergeCell ref="C1:D1"/>
    <mergeCell ref="A11:B11"/>
    <mergeCell ref="A13:F1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4782-6393-4F64-8463-F68B3B26A510}">
  <dimension ref="A1:L28"/>
  <sheetViews>
    <sheetView zoomScaleNormal="100" workbookViewId="0">
      <selection activeCell="P21" sqref="P21"/>
    </sheetView>
  </sheetViews>
  <sheetFormatPr defaultColWidth="5.59765625" defaultRowHeight="14.25" x14ac:dyDescent="0.45"/>
  <cols>
    <col min="1" max="3" width="5.59765625" style="2"/>
    <col min="4" max="4" width="6.9296875" style="2" customWidth="1"/>
    <col min="5" max="5" width="6.19921875" style="2" bestFit="1" customWidth="1"/>
    <col min="6" max="6" width="5.73046875" style="2" customWidth="1"/>
    <col min="7" max="7" width="6.46484375" style="2" customWidth="1"/>
    <col min="8" max="8" width="7" style="2" customWidth="1"/>
    <col min="9" max="9" width="5.6640625" style="2" bestFit="1" customWidth="1"/>
    <col min="10" max="10" width="6.19921875" style="2" bestFit="1" customWidth="1"/>
    <col min="11" max="11" width="5.73046875" style="2" customWidth="1"/>
    <col min="12" max="12" width="6.19921875" style="2" bestFit="1" customWidth="1"/>
    <col min="13" max="16384" width="5.59765625" style="2"/>
  </cols>
  <sheetData>
    <row r="1" spans="1:12" x14ac:dyDescent="0.45">
      <c r="D1" s="12" t="s">
        <v>27</v>
      </c>
      <c r="E1" s="12"/>
      <c r="F1" s="12"/>
      <c r="G1" s="12"/>
      <c r="H1" s="12" t="s">
        <v>28</v>
      </c>
      <c r="I1" s="12"/>
      <c r="J1" s="12"/>
      <c r="K1" s="12"/>
      <c r="L1" s="12"/>
    </row>
    <row r="2" spans="1:12" ht="16.899999999999999" customHeight="1" x14ac:dyDescent="0.45">
      <c r="B2" s="13" t="s">
        <v>25</v>
      </c>
      <c r="C2" s="14"/>
      <c r="D2" s="5" t="s">
        <v>48</v>
      </c>
      <c r="E2" s="6">
        <v>304</v>
      </c>
      <c r="F2" s="6">
        <v>307</v>
      </c>
      <c r="G2" s="6">
        <v>308</v>
      </c>
      <c r="H2" s="5"/>
      <c r="I2" s="6">
        <v>303</v>
      </c>
      <c r="J2" s="6">
        <v>304</v>
      </c>
      <c r="K2" s="6">
        <v>306</v>
      </c>
      <c r="L2" s="6">
        <v>308</v>
      </c>
    </row>
    <row r="3" spans="1:12" ht="16.149999999999999" customHeight="1" x14ac:dyDescent="0.45">
      <c r="B3" s="15" t="s">
        <v>26</v>
      </c>
      <c r="C3" s="16"/>
      <c r="D3" s="5" t="s">
        <v>49</v>
      </c>
      <c r="E3" s="6">
        <v>1</v>
      </c>
      <c r="F3" s="6">
        <v>4</v>
      </c>
      <c r="G3" s="6">
        <v>4</v>
      </c>
      <c r="H3" s="5"/>
      <c r="I3" s="6">
        <v>2</v>
      </c>
      <c r="J3" s="6">
        <v>6</v>
      </c>
      <c r="K3" s="6">
        <v>4</v>
      </c>
      <c r="L3" s="6">
        <v>1</v>
      </c>
    </row>
    <row r="4" spans="1:12" ht="17.649999999999999" customHeight="1" x14ac:dyDescent="0.45">
      <c r="D4" s="5" t="s">
        <v>50</v>
      </c>
      <c r="E4" s="6">
        <f>E2*E3</f>
        <v>304</v>
      </c>
      <c r="F4" s="6">
        <f>F2*F3</f>
        <v>1228</v>
      </c>
      <c r="G4" s="6">
        <f t="shared" ref="G4" si="0">G2*G3</f>
        <v>1232</v>
      </c>
      <c r="H4" s="5" t="s">
        <v>30</v>
      </c>
      <c r="I4" s="6">
        <f>I2*I3</f>
        <v>606</v>
      </c>
      <c r="J4" s="6">
        <f t="shared" ref="J4:L4" si="1">J2*J3</f>
        <v>1824</v>
      </c>
      <c r="K4" s="6">
        <f t="shared" si="1"/>
        <v>1224</v>
      </c>
      <c r="L4" s="6">
        <f t="shared" si="1"/>
        <v>308</v>
      </c>
    </row>
    <row r="5" spans="1:12" x14ac:dyDescent="0.45">
      <c r="D5" s="5" t="s">
        <v>51</v>
      </c>
      <c r="E5" s="6">
        <f>SUM(E3:G3)</f>
        <v>9</v>
      </c>
      <c r="H5" s="5" t="s">
        <v>52</v>
      </c>
      <c r="I5" s="6">
        <f>SUM(I3:L3)</f>
        <v>13</v>
      </c>
    </row>
    <row r="6" spans="1:12" x14ac:dyDescent="0.45">
      <c r="D6" s="8"/>
      <c r="E6" s="8"/>
      <c r="F6" s="9">
        <f>SUM(E4:G4)/E5</f>
        <v>307.11111111111109</v>
      </c>
      <c r="G6" s="4"/>
      <c r="H6" s="8"/>
      <c r="I6" s="8"/>
      <c r="J6" s="9">
        <f>SUM(I4:L4)/I5</f>
        <v>304.76923076923077</v>
      </c>
      <c r="L6" s="1"/>
    </row>
    <row r="7" spans="1:12" x14ac:dyDescent="0.45">
      <c r="D7" s="8"/>
      <c r="E7" s="8"/>
      <c r="F7" s="9"/>
      <c r="G7" s="4"/>
      <c r="H7" s="8"/>
      <c r="I7" s="8"/>
      <c r="J7" s="9"/>
      <c r="L7" s="1"/>
    </row>
    <row r="8" spans="1:12" x14ac:dyDescent="0.45">
      <c r="D8" s="8"/>
      <c r="E8" s="8"/>
      <c r="F8" s="9"/>
      <c r="G8" s="4"/>
      <c r="H8" s="8"/>
      <c r="I8" s="8"/>
      <c r="J8" s="9"/>
      <c r="L8" s="1"/>
    </row>
    <row r="9" spans="1:12" x14ac:dyDescent="0.45">
      <c r="D9" s="5"/>
      <c r="E9" s="6">
        <f>(E2-$F$6)^2</f>
        <v>9.6790123456788546</v>
      </c>
      <c r="F9" s="6">
        <f t="shared" ref="F9:G9" si="2">(F2-$F$6)^2</f>
        <v>1.2345679012340065E-2</v>
      </c>
      <c r="G9" s="6">
        <f t="shared" si="2"/>
        <v>0.79012345679016838</v>
      </c>
      <c r="H9" s="5"/>
      <c r="I9" s="6">
        <f>(I2-$J$6)^2</f>
        <v>3.1301775147929147</v>
      </c>
      <c r="J9" s="6">
        <f>(J2-$J$6)^2</f>
        <v>0.59171597633136763</v>
      </c>
      <c r="K9" s="6">
        <f>(K2-$J$6)^2</f>
        <v>1.5147928994082733</v>
      </c>
      <c r="L9" s="6">
        <f>(L2-$J$6)^2</f>
        <v>10.43786982248518</v>
      </c>
    </row>
    <row r="10" spans="1:12" x14ac:dyDescent="0.45">
      <c r="C10" s="8"/>
      <c r="D10" s="8"/>
      <c r="E10" s="8"/>
      <c r="F10" s="8"/>
      <c r="G10" s="9">
        <f>SUM(E9:G9)/(E5-1)</f>
        <v>1.3101851851851702</v>
      </c>
      <c r="H10" s="8"/>
      <c r="I10" s="8"/>
      <c r="J10" s="8"/>
      <c r="K10" s="8"/>
      <c r="L10" s="9">
        <f>SUM(I9:L9)/(I5-1)</f>
        <v>1.3062130177514779</v>
      </c>
    </row>
    <row r="11" spans="1:12" x14ac:dyDescent="0.45">
      <c r="C11" s="8"/>
      <c r="D11" s="8"/>
      <c r="E11" s="8"/>
      <c r="F11" s="8"/>
      <c r="G11" s="9"/>
      <c r="H11" s="8"/>
      <c r="I11" s="8"/>
      <c r="J11" s="8"/>
      <c r="K11" s="8"/>
      <c r="L11" s="9"/>
    </row>
    <row r="12" spans="1:12" x14ac:dyDescent="0.45">
      <c r="C12" s="8"/>
      <c r="D12" s="8"/>
      <c r="E12" s="8"/>
      <c r="F12" s="8"/>
      <c r="G12" s="9"/>
      <c r="H12" s="8"/>
      <c r="I12" s="8"/>
      <c r="J12" s="8"/>
      <c r="K12" s="8"/>
      <c r="L12" s="9"/>
    </row>
    <row r="14" spans="1:12" x14ac:dyDescent="0.45">
      <c r="A14" s="8"/>
      <c r="B14" s="8"/>
      <c r="C14" s="8"/>
      <c r="D14" s="8"/>
      <c r="E14" s="8"/>
      <c r="F14" s="9">
        <f>(F6-J6)/SQRT(((E5*G10+I5*L10)/(E5+I5-2))*(1/E5+1/I5))</f>
        <v>4.5026996004537212</v>
      </c>
      <c r="G14" s="1"/>
      <c r="H14" s="5" t="s">
        <v>6</v>
      </c>
      <c r="I14" s="6">
        <f>ABS(F14)</f>
        <v>4.5026996004537212</v>
      </c>
    </row>
    <row r="15" spans="1:12" x14ac:dyDescent="0.45">
      <c r="A15" s="8"/>
      <c r="B15" s="8"/>
      <c r="C15" s="8"/>
      <c r="D15" s="8"/>
      <c r="E15" s="8"/>
      <c r="F15" s="9"/>
      <c r="G15" s="1"/>
    </row>
    <row r="16" spans="1:12" x14ac:dyDescent="0.45">
      <c r="A16" s="8"/>
      <c r="B16" s="8"/>
      <c r="C16" s="8"/>
      <c r="D16" s="8"/>
      <c r="E16" s="8"/>
      <c r="F16" s="9"/>
      <c r="G16" s="1"/>
      <c r="H16" s="5" t="s">
        <v>53</v>
      </c>
      <c r="I16" s="7" t="s">
        <v>10</v>
      </c>
      <c r="J16" s="10"/>
    </row>
    <row r="17" spans="1:12" x14ac:dyDescent="0.45">
      <c r="A17" s="8"/>
      <c r="B17" s="8"/>
      <c r="C17" s="8"/>
      <c r="D17" s="8"/>
      <c r="E17" s="8"/>
      <c r="F17" s="9"/>
      <c r="G17" s="1"/>
      <c r="H17" s="5" t="s">
        <v>41</v>
      </c>
      <c r="I17" s="6">
        <v>0.1</v>
      </c>
      <c r="J17" s="3" t="s">
        <v>9</v>
      </c>
      <c r="K17" s="5" t="s">
        <v>29</v>
      </c>
      <c r="L17" s="6">
        <f>1-I17</f>
        <v>0.9</v>
      </c>
    </row>
    <row r="19" spans="1:12" x14ac:dyDescent="0.45">
      <c r="A19" s="10" t="s">
        <v>31</v>
      </c>
      <c r="B19" s="10"/>
      <c r="C19" s="10"/>
      <c r="D19" s="18" t="s">
        <v>54</v>
      </c>
      <c r="E19" s="8"/>
      <c r="F19" s="8"/>
    </row>
    <row r="20" spans="1:12" x14ac:dyDescent="0.45">
      <c r="D20" s="3"/>
    </row>
    <row r="21" spans="1:12" x14ac:dyDescent="0.45">
      <c r="A21" s="10" t="s">
        <v>32</v>
      </c>
      <c r="B21" s="10"/>
      <c r="C21" s="10"/>
      <c r="D21" s="8" t="s">
        <v>55</v>
      </c>
      <c r="E21" s="8"/>
    </row>
    <row r="23" spans="1:12" x14ac:dyDescent="0.45">
      <c r="A23" s="10" t="s">
        <v>33</v>
      </c>
      <c r="B23" s="10"/>
      <c r="C23" s="10"/>
      <c r="D23" s="10"/>
      <c r="E23" s="10"/>
      <c r="F23" s="10"/>
    </row>
    <row r="25" spans="1:12" x14ac:dyDescent="0.45">
      <c r="A25" s="10" t="s">
        <v>5</v>
      </c>
      <c r="B25" s="10"/>
      <c r="C25" s="8" t="s">
        <v>56</v>
      </c>
      <c r="D25" s="8"/>
      <c r="E25" s="8"/>
    </row>
    <row r="26" spans="1:12" ht="14.65" thickBot="1" x14ac:dyDescent="0.5"/>
    <row r="27" spans="1:12" ht="15" thickTop="1" thickBot="1" x14ac:dyDescent="0.5">
      <c r="A27" s="17" t="s">
        <v>36</v>
      </c>
      <c r="B27" s="17"/>
      <c r="C27" s="17"/>
      <c r="D27" s="17"/>
      <c r="E27" s="17"/>
    </row>
    <row r="28" spans="1:12" ht="14.65" thickTop="1" x14ac:dyDescent="0.45"/>
  </sheetData>
  <mergeCells count="23">
    <mergeCell ref="A27:E27"/>
    <mergeCell ref="A19:C19"/>
    <mergeCell ref="D19:F19"/>
    <mergeCell ref="A21:C21"/>
    <mergeCell ref="D21:E21"/>
    <mergeCell ref="A23:F23"/>
    <mergeCell ref="A25:B25"/>
    <mergeCell ref="C25:E25"/>
    <mergeCell ref="D1:G1"/>
    <mergeCell ref="H1:L1"/>
    <mergeCell ref="I16:J16"/>
    <mergeCell ref="B2:C2"/>
    <mergeCell ref="B3:C3"/>
    <mergeCell ref="J6:J8"/>
    <mergeCell ref="D6:E8"/>
    <mergeCell ref="F6:F8"/>
    <mergeCell ref="H6:I8"/>
    <mergeCell ref="C10:F12"/>
    <mergeCell ref="H10:K12"/>
    <mergeCell ref="G10:G12"/>
    <mergeCell ref="L10:L12"/>
    <mergeCell ref="A14:E17"/>
    <mergeCell ref="F14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задача1</vt:lpstr>
      <vt:lpstr>задача2</vt:lpstr>
      <vt:lpstr>задача3</vt:lpstr>
      <vt:lpstr>задача4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 Кочеткова</cp:lastModifiedBy>
  <dcterms:created xsi:type="dcterms:W3CDTF">2015-06-05T18:19:34Z</dcterms:created>
  <dcterms:modified xsi:type="dcterms:W3CDTF">2024-03-24T17:32:50Z</dcterms:modified>
</cp:coreProperties>
</file>
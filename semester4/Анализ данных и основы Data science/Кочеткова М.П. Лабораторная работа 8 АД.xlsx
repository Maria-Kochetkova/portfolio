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Мария\Desktop\"/>
    </mc:Choice>
  </mc:AlternateContent>
  <xr:revisionPtr revIDLastSave="0" documentId="13_ncr:1_{E9A83EFB-A5DB-493F-AEE7-676E5DD5BF6E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Регрессионный анализ" sheetId="1" r:id="rId1"/>
    <sheet name="Распад радиоактивного рещества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1" l="1"/>
  <c r="B41" i="1"/>
  <c r="C15" i="2" l="1"/>
  <c r="E4" i="2"/>
  <c r="E5" i="2"/>
  <c r="E6" i="2"/>
  <c r="E7" i="2"/>
  <c r="E8" i="2"/>
  <c r="E9" i="2"/>
  <c r="E10" i="2"/>
  <c r="E11" i="2"/>
  <c r="E12" i="2"/>
  <c r="E13" i="2"/>
  <c r="E14" i="2"/>
  <c r="E3" i="2"/>
  <c r="D4" i="2"/>
  <c r="D5" i="2"/>
  <c r="D6" i="2"/>
  <c r="D7" i="2"/>
  <c r="D8" i="2"/>
  <c r="D9" i="2"/>
  <c r="D10" i="2"/>
  <c r="D11" i="2"/>
  <c r="D12" i="2"/>
  <c r="D13" i="2"/>
  <c r="D14" i="2"/>
  <c r="D3" i="2"/>
  <c r="B15" i="2"/>
  <c r="D23" i="1"/>
  <c r="E23" i="1"/>
  <c r="F23" i="1"/>
  <c r="D24" i="1"/>
  <c r="E24" i="1"/>
  <c r="F24" i="1"/>
  <c r="D25" i="1"/>
  <c r="E25" i="1"/>
  <c r="F25" i="1"/>
  <c r="D26" i="1"/>
  <c r="E26" i="1"/>
  <c r="F26" i="1"/>
  <c r="D27" i="1"/>
  <c r="E27" i="1"/>
  <c r="F27" i="1"/>
  <c r="D28" i="1"/>
  <c r="E28" i="1"/>
  <c r="F28" i="1"/>
  <c r="D29" i="1"/>
  <c r="E29" i="1"/>
  <c r="F29" i="1"/>
  <c r="D30" i="1"/>
  <c r="E30" i="1"/>
  <c r="F30" i="1"/>
  <c r="D31" i="1"/>
  <c r="E31" i="1"/>
  <c r="F31" i="1"/>
  <c r="D32" i="1"/>
  <c r="E32" i="1"/>
  <c r="F32" i="1"/>
  <c r="D33" i="1"/>
  <c r="E33" i="1"/>
  <c r="F33" i="1"/>
  <c r="D34" i="1"/>
  <c r="E34" i="1"/>
  <c r="F34" i="1"/>
  <c r="D35" i="1"/>
  <c r="E35" i="1"/>
  <c r="F35" i="1"/>
  <c r="D36" i="1"/>
  <c r="E36" i="1"/>
  <c r="F36" i="1"/>
  <c r="D37" i="1"/>
  <c r="E37" i="1"/>
  <c r="F37" i="1"/>
  <c r="B40" i="1"/>
  <c r="K96" i="1" s="1"/>
  <c r="C40" i="1"/>
  <c r="B43" i="1"/>
  <c r="B44" i="1"/>
  <c r="D57" i="1" s="1"/>
  <c r="C82" i="1"/>
  <c r="K84" i="1"/>
  <c r="C101" i="1"/>
  <c r="E11" i="1"/>
  <c r="D11" i="1"/>
  <c r="E4" i="1"/>
  <c r="I4" i="1" s="1"/>
  <c r="I5" i="1" s="1"/>
  <c r="I6" i="1" s="1"/>
  <c r="I7" i="1" s="1"/>
  <c r="I8" i="1" s="1"/>
  <c r="D4" i="1"/>
  <c r="F8" i="2" l="1"/>
  <c r="F5" i="2"/>
  <c r="G4" i="1"/>
  <c r="F41" i="1"/>
  <c r="E41" i="1"/>
  <c r="B63" i="1" s="1"/>
  <c r="D41" i="1"/>
  <c r="D40" i="1"/>
  <c r="G35" i="1"/>
  <c r="H35" i="1" s="1"/>
  <c r="I35" i="1" s="1"/>
  <c r="G11" i="2"/>
  <c r="E15" i="2"/>
  <c r="G9" i="2"/>
  <c r="F7" i="2"/>
  <c r="G3" i="2"/>
  <c r="G8" i="2"/>
  <c r="F4" i="2"/>
  <c r="G5" i="2"/>
  <c r="F3" i="2"/>
  <c r="G10" i="2"/>
  <c r="F11" i="2"/>
  <c r="G14" i="2"/>
  <c r="F13" i="2"/>
  <c r="G12" i="2"/>
  <c r="G6" i="2"/>
  <c r="G26" i="1"/>
  <c r="H26" i="1" s="1"/>
  <c r="I26" i="1" s="1"/>
  <c r="F40" i="1"/>
  <c r="E40" i="1"/>
  <c r="G4" i="2"/>
  <c r="F9" i="2"/>
  <c r="G13" i="2"/>
  <c r="F12" i="2"/>
  <c r="G7" i="2"/>
  <c r="F10" i="2"/>
  <c r="F6" i="2"/>
  <c r="F14" i="2"/>
  <c r="D15" i="2"/>
  <c r="G32" i="1"/>
  <c r="H32" i="1" s="1"/>
  <c r="G29" i="1"/>
  <c r="H29" i="1" s="1"/>
  <c r="G23" i="1"/>
  <c r="G37" i="1"/>
  <c r="H37" i="1" s="1"/>
  <c r="G34" i="1"/>
  <c r="H34" i="1" s="1"/>
  <c r="L98" i="1"/>
  <c r="G31" i="1"/>
  <c r="H31" i="1" s="1"/>
  <c r="G28" i="1"/>
  <c r="H28" i="1" s="1"/>
  <c r="G25" i="1"/>
  <c r="H25" i="1" s="1"/>
  <c r="G36" i="1"/>
  <c r="H36" i="1" s="1"/>
  <c r="G33" i="1"/>
  <c r="H33" i="1" s="1"/>
  <c r="G30" i="1"/>
  <c r="H30" i="1" s="1"/>
  <c r="G27" i="1"/>
  <c r="H27" i="1" s="1"/>
  <c r="G24" i="1"/>
  <c r="H24" i="1" s="1"/>
  <c r="I12" i="1"/>
  <c r="I13" i="1" s="1"/>
  <c r="I14" i="1" s="1"/>
  <c r="I15" i="1" s="1"/>
  <c r="I16" i="1" s="1"/>
  <c r="G11" i="1"/>
  <c r="B62" i="1" l="1"/>
  <c r="E66" i="1" s="1"/>
  <c r="B69" i="1" s="1"/>
  <c r="J26" i="1"/>
  <c r="G41" i="1"/>
  <c r="J35" i="1"/>
  <c r="G15" i="2"/>
  <c r="B19" i="2" s="1"/>
  <c r="F15" i="2"/>
  <c r="I27" i="1"/>
  <c r="J27" i="1"/>
  <c r="I30" i="1"/>
  <c r="J30" i="1"/>
  <c r="I33" i="1"/>
  <c r="J33" i="1"/>
  <c r="I36" i="1"/>
  <c r="J36" i="1"/>
  <c r="I25" i="1"/>
  <c r="J25" i="1"/>
  <c r="I28" i="1"/>
  <c r="J28" i="1"/>
  <c r="I31" i="1"/>
  <c r="J31" i="1"/>
  <c r="I34" i="1"/>
  <c r="J34" i="1"/>
  <c r="J37" i="1"/>
  <c r="I37" i="1"/>
  <c r="H23" i="1"/>
  <c r="H41" i="1" s="1"/>
  <c r="G40" i="1"/>
  <c r="I29" i="1"/>
  <c r="J29" i="1"/>
  <c r="I32" i="1"/>
  <c r="J32" i="1"/>
  <c r="I24" i="1"/>
  <c r="J24" i="1"/>
  <c r="B18" i="2" l="1"/>
  <c r="H40" i="1"/>
  <c r="I23" i="1"/>
  <c r="J23" i="1"/>
  <c r="C69" i="1"/>
  <c r="F95" i="1"/>
  <c r="D76" i="1"/>
  <c r="F19" i="2" l="1"/>
  <c r="H10" i="2"/>
  <c r="H14" i="2"/>
  <c r="H13" i="2"/>
  <c r="H9" i="2"/>
  <c r="H8" i="2"/>
  <c r="H7" i="2"/>
  <c r="H6" i="2"/>
  <c r="H5" i="2"/>
  <c r="H4" i="2"/>
  <c r="H3" i="2"/>
  <c r="H12" i="2"/>
  <c r="H11" i="2"/>
  <c r="J40" i="1"/>
  <c r="J41" i="1"/>
  <c r="G50" i="1" s="1"/>
  <c r="I40" i="1"/>
  <c r="N76" i="1" s="1"/>
  <c r="K79" i="1" s="1"/>
  <c r="I41" i="1"/>
  <c r="I11" i="2" l="1"/>
  <c r="J11" i="2"/>
  <c r="I5" i="2"/>
  <c r="J5" i="2"/>
  <c r="I3" i="2"/>
  <c r="J3" i="2"/>
  <c r="I9" i="2"/>
  <c r="J9" i="2"/>
  <c r="I12" i="2"/>
  <c r="J12" i="2"/>
  <c r="I4" i="2"/>
  <c r="J4" i="2"/>
  <c r="I6" i="2"/>
  <c r="J6" i="2"/>
  <c r="I7" i="2"/>
  <c r="J7" i="2"/>
  <c r="I8" i="2"/>
  <c r="J8" i="2"/>
  <c r="I13" i="2"/>
  <c r="J13" i="2"/>
  <c r="I14" i="2"/>
  <c r="J14" i="2"/>
  <c r="I10" i="2"/>
  <c r="J10" i="2"/>
  <c r="I50" i="1"/>
  <c r="J15" i="2" l="1"/>
  <c r="I15" i="2"/>
</calcChain>
</file>

<file path=xl/sharedStrings.xml><?xml version="1.0" encoding="utf-8"?>
<sst xmlns="http://schemas.openxmlformats.org/spreadsheetml/2006/main" count="105" uniqueCount="90">
  <si>
    <t>y</t>
  </si>
  <si>
    <t>x</t>
  </si>
  <si>
    <t>h</t>
  </si>
  <si>
    <t>Xmax</t>
  </si>
  <si>
    <t>Xmin</t>
  </si>
  <si>
    <t>Ymax</t>
  </si>
  <si>
    <t>Ymin</t>
  </si>
  <si>
    <t>грань</t>
  </si>
  <si>
    <t>№</t>
  </si>
  <si>
    <t>xy</t>
  </si>
  <si>
    <t>y'</t>
  </si>
  <si>
    <t>y-y'</t>
  </si>
  <si>
    <t>Сумм</t>
  </si>
  <si>
    <t>2.5</t>
  </si>
  <si>
    <t>- коэффициент корреляции</t>
  </si>
  <si>
    <r>
      <t>Нулевая гипотеза: H</t>
    </r>
    <r>
      <rPr>
        <sz val="11"/>
        <color theme="1"/>
        <rFont val="Calibri"/>
        <family val="2"/>
      </rPr>
      <t>₀: rs = 0, при H₁</t>
    </r>
    <r>
      <rPr>
        <sz val="11"/>
        <color theme="1"/>
        <rFont val="Calibri"/>
        <family val="2"/>
        <scheme val="minor"/>
      </rPr>
      <t xml:space="preserve">: rs </t>
    </r>
    <r>
      <rPr>
        <sz val="11"/>
        <color theme="1"/>
        <rFont val="Calibri"/>
        <family val="2"/>
      </rPr>
      <t>≠ 0</t>
    </r>
  </si>
  <si>
    <t>tрасч =</t>
  </si>
  <si>
    <t>tкр =</t>
  </si>
  <si>
    <t>для tкр</t>
  </si>
  <si>
    <t>n-2=</t>
  </si>
  <si>
    <t xml:space="preserve">α = </t>
  </si>
  <si>
    <r>
      <t>так как tрасч &gt; tкр, то H</t>
    </r>
    <r>
      <rPr>
        <sz val="11"/>
        <color theme="1"/>
        <rFont val="Calibri"/>
        <family val="2"/>
      </rPr>
      <t>₀ отвергается</t>
    </r>
  </si>
  <si>
    <t>- коэффициент детерминации</t>
  </si>
  <si>
    <t>Вывод:</t>
  </si>
  <si>
    <t>85% обозначают высокую тесноту связи между переменными.</t>
  </si>
  <si>
    <t>2.6</t>
  </si>
  <si>
    <t>2.2</t>
  </si>
  <si>
    <t>2.1</t>
  </si>
  <si>
    <t>=&gt; x оказывает существенное влияние на y</t>
  </si>
  <si>
    <t>Статистическая значимость коэффициента регрессии</t>
  </si>
  <si>
    <t xml:space="preserve">tрасч = </t>
  </si>
  <si>
    <t>так как tрасч &gt; tкр, то коэффициента регрессии статистически значим</t>
  </si>
  <si>
    <t>=&gt; x значимо влияет на y</t>
  </si>
  <si>
    <t>2.7</t>
  </si>
  <si>
    <t>Оценка значимости величины коэффициента корреляции</t>
  </si>
  <si>
    <t>Охарактеризовать статистическую надежность результатов регрессионного анализа</t>
  </si>
  <si>
    <t xml:space="preserve">Fрасч = </t>
  </si>
  <si>
    <t>k =</t>
  </si>
  <si>
    <t>n - k -1 =</t>
  </si>
  <si>
    <t>для Fкр</t>
  </si>
  <si>
    <t xml:space="preserve"> Fкр =</t>
  </si>
  <si>
    <t>так как Fрасч &gt; Fкр, то уравнение регрессии статистически значимое или надежное</t>
  </si>
  <si>
    <t>2.8</t>
  </si>
  <si>
    <t>Определить прогнозное значение результативного признака, если возможное значение факторного признака составит 1.2 от его среднего уровня по совокупности</t>
  </si>
  <si>
    <t xml:space="preserve">xp = </t>
  </si>
  <si>
    <t>x̅ * 1,2 =</t>
  </si>
  <si>
    <t>y'р =</t>
  </si>
  <si>
    <r>
      <t>b</t>
    </r>
    <r>
      <rPr>
        <sz val="11"/>
        <color theme="1"/>
        <rFont val="Calibri"/>
        <family val="2"/>
      </rPr>
      <t>₀ + b₁ * xр =</t>
    </r>
  </si>
  <si>
    <r>
      <t>значит при общей площади квартиры в 78,8 м</t>
    </r>
    <r>
      <rPr>
        <sz val="11"/>
        <color theme="1"/>
        <rFont val="Calibri"/>
        <family val="2"/>
      </rPr>
      <t>² возможная стоимость квартиры составляет 25,557 тыс. у. е.</t>
    </r>
  </si>
  <si>
    <t>t</t>
  </si>
  <si>
    <t>сумм</t>
  </si>
  <si>
    <t>y = ln(x)</t>
  </si>
  <si>
    <t>y²</t>
  </si>
  <si>
    <t>yt</t>
  </si>
  <si>
    <t>yₜ</t>
  </si>
  <si>
    <t>i</t>
  </si>
  <si>
    <t>=&gt;</t>
  </si>
  <si>
    <t>y = 2,1 - 1,5t</t>
  </si>
  <si>
    <r>
      <t>x = 8,571e</t>
    </r>
    <r>
      <rPr>
        <sz val="11"/>
        <color theme="1"/>
        <rFont val="Calibri"/>
        <family val="2"/>
      </rPr>
      <t>¯⁰˒¹⁵</t>
    </r>
  </si>
  <si>
    <t>a=</t>
  </si>
  <si>
    <t>Ср.знач</t>
  </si>
  <si>
    <t>y, тыс.у.е.</t>
  </si>
  <si>
    <t>x, кв.м</t>
  </si>
  <si>
    <t xml:space="preserve">Рассчет параметров уравнения регрессии </t>
  </si>
  <si>
    <t>График зависимости между переменными, по которым необходимо подобрать модель регрессии</t>
  </si>
  <si>
    <t>2.3</t>
  </si>
  <si>
    <t>Оценка качества уравнения с помощью средней ошибки аппроксимации</t>
  </si>
  <si>
    <t>* 100% =</t>
  </si>
  <si>
    <t xml:space="preserve">= </t>
  </si>
  <si>
    <t>Качество модели регрессии хорошее</t>
  </si>
  <si>
    <t>2.4</t>
  </si>
  <si>
    <t>Вычисление коэффицента эластичности</t>
  </si>
  <si>
    <t>=</t>
  </si>
  <si>
    <t>Оценка тесноты связи между переменными с помощью показателей корреляции и детерминации</t>
  </si>
  <si>
    <t>Э =</t>
  </si>
  <si>
    <t>r =</t>
  </si>
  <si>
    <t>σy =</t>
  </si>
  <si>
    <t>x²</t>
  </si>
  <si>
    <t>(y-y')²</t>
  </si>
  <si>
    <t>b₀ =</t>
  </si>
  <si>
    <t>b₁ =</t>
  </si>
  <si>
    <t>σx =</t>
  </si>
  <si>
    <t>r² =</t>
  </si>
  <si>
    <t>k₁ =</t>
  </si>
  <si>
    <t xml:space="preserve">k₂ = </t>
  </si>
  <si>
    <t>t²</t>
  </si>
  <si>
    <t>(y - yₜ)²</t>
  </si>
  <si>
    <t>(yₜ - y̅)²</t>
  </si>
  <si>
    <t>a' =</t>
  </si>
  <si>
    <t>b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</si>
</sst>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5" fillId="3" borderId="5" applyNumberFormat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0" xfId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0" xfId="0" quotePrefix="1" applyAlignment="1">
      <alignment horizontal="left" vertical="center"/>
    </xf>
    <xf numFmtId="0" fontId="5" fillId="3" borderId="5" xfId="3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2" quotePrefix="1" applyAlignment="1">
      <alignment horizontal="center" vertical="center"/>
    </xf>
    <xf numFmtId="0" fontId="2" fillId="2" borderId="1" xfId="2" applyAlignment="1">
      <alignment horizontal="center" vertical="center"/>
    </xf>
    <xf numFmtId="0" fontId="5" fillId="3" borderId="5" xfId="3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 wrapText="1"/>
    </xf>
    <xf numFmtId="16" fontId="2" fillId="2" borderId="2" xfId="2" quotePrefix="1" applyNumberFormat="1" applyBorder="1" applyAlignment="1">
      <alignment horizontal="center" vertical="center"/>
    </xf>
    <xf numFmtId="0" fontId="2" fillId="2" borderId="3" xfId="2" applyBorder="1" applyAlignment="1">
      <alignment horizontal="center" vertical="center"/>
    </xf>
    <xf numFmtId="0" fontId="2" fillId="2" borderId="4" xfId="2" applyBorder="1" applyAlignment="1">
      <alignment horizontal="center" vertical="center"/>
    </xf>
    <xf numFmtId="16" fontId="2" fillId="2" borderId="1" xfId="2" quotePrefix="1" applyNumberFormat="1" applyAlignment="1">
      <alignment horizontal="center" vertical="center"/>
    </xf>
  </cellXfs>
  <cellStyles count="4">
    <cellStyle name="Вывод" xfId="3" builtinId="21"/>
    <cellStyle name="Контрольная ячейка" xfId="2" builtinId="23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между переменными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'Регрессионный анализ'!$I$4:$I$8</c:f>
              <c:numCache>
                <c:formatCode>General</c:formatCode>
                <c:ptCount val="5"/>
                <c:pt idx="0">
                  <c:v>49</c:v>
                </c:pt>
                <c:pt idx="1">
                  <c:v>65</c:v>
                </c:pt>
                <c:pt idx="2">
                  <c:v>81</c:v>
                </c:pt>
                <c:pt idx="3">
                  <c:v>97</c:v>
                </c:pt>
                <c:pt idx="4">
                  <c:v>113</c:v>
                </c:pt>
              </c:numCache>
            </c:numRef>
          </c:xVal>
          <c:yVal>
            <c:numRef>
              <c:f>'Регрессионный анализ'!$I$12:$I$16</c:f>
              <c:numCache>
                <c:formatCode>General</c:formatCode>
                <c:ptCount val="5"/>
                <c:pt idx="0">
                  <c:v>18</c:v>
                </c:pt>
                <c:pt idx="1">
                  <c:v>23</c:v>
                </c:pt>
                <c:pt idx="2">
                  <c:v>28</c:v>
                </c:pt>
                <c:pt idx="3">
                  <c:v>33</c:v>
                </c:pt>
                <c:pt idx="4">
                  <c:v>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0A-4C5E-AB8D-E05A83D9C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287599"/>
        <c:axId val="835288079"/>
      </c:scatterChart>
      <c:valAx>
        <c:axId val="835287599"/>
        <c:scaling>
          <c:orientation val="minMax"/>
          <c:max val="129"/>
          <c:min val="3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5288079"/>
        <c:crosses val="autoZero"/>
        <c:crossBetween val="midCat"/>
        <c:majorUnit val="16"/>
      </c:valAx>
      <c:valAx>
        <c:axId val="83528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5287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y'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'Регрессионный анализ'!$B$23:$B$37</c:f>
              <c:numCache>
                <c:formatCode>General</c:formatCode>
                <c:ptCount val="15"/>
                <c:pt idx="0">
                  <c:v>33</c:v>
                </c:pt>
                <c:pt idx="1">
                  <c:v>40</c:v>
                </c:pt>
                <c:pt idx="2">
                  <c:v>36</c:v>
                </c:pt>
                <c:pt idx="3">
                  <c:v>60</c:v>
                </c:pt>
                <c:pt idx="4">
                  <c:v>55</c:v>
                </c:pt>
                <c:pt idx="5">
                  <c:v>80</c:v>
                </c:pt>
                <c:pt idx="6">
                  <c:v>95</c:v>
                </c:pt>
                <c:pt idx="7">
                  <c:v>70</c:v>
                </c:pt>
                <c:pt idx="8">
                  <c:v>48</c:v>
                </c:pt>
                <c:pt idx="9">
                  <c:v>53</c:v>
                </c:pt>
                <c:pt idx="10">
                  <c:v>95</c:v>
                </c:pt>
                <c:pt idx="11">
                  <c:v>75</c:v>
                </c:pt>
                <c:pt idx="12">
                  <c:v>63</c:v>
                </c:pt>
                <c:pt idx="13">
                  <c:v>112</c:v>
                </c:pt>
                <c:pt idx="14">
                  <c:v>70</c:v>
                </c:pt>
              </c:numCache>
            </c:numRef>
          </c:xVal>
          <c:yVal>
            <c:numRef>
              <c:f>'Регрессионный анализ'!$G$23:$G$37</c:f>
              <c:numCache>
                <c:formatCode>General</c:formatCode>
                <c:ptCount val="15"/>
                <c:pt idx="0">
                  <c:v>14.73412060301507</c:v>
                </c:pt>
                <c:pt idx="1">
                  <c:v>16.846809045226124</c:v>
                </c:pt>
                <c:pt idx="2">
                  <c:v>15.639558506819807</c:v>
                </c:pt>
                <c:pt idx="3">
                  <c:v>22.883061737257712</c:v>
                </c:pt>
                <c:pt idx="4">
                  <c:v>21.373998564249813</c:v>
                </c:pt>
                <c:pt idx="5">
                  <c:v>28.919314429289297</c:v>
                </c:pt>
                <c:pt idx="6">
                  <c:v>33.446503948312994</c:v>
                </c:pt>
                <c:pt idx="7">
                  <c:v>25.901188083273507</c:v>
                </c:pt>
                <c:pt idx="8">
                  <c:v>19.261310122038758</c:v>
                </c:pt>
                <c:pt idx="9">
                  <c:v>20.770373295046657</c:v>
                </c:pt>
                <c:pt idx="10">
                  <c:v>33.446503948312994</c:v>
                </c:pt>
                <c:pt idx="11">
                  <c:v>27.410251256281402</c:v>
                </c:pt>
                <c:pt idx="12">
                  <c:v>23.788499641062451</c:v>
                </c:pt>
                <c:pt idx="13">
                  <c:v>38.577318736539837</c:v>
                </c:pt>
                <c:pt idx="14">
                  <c:v>25.901188083273507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A6-4A43-9844-35EC0E808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484256"/>
        <c:axId val="834487136"/>
      </c:scatterChart>
      <c:valAx>
        <c:axId val="83448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4487136"/>
        <c:crosses val="autoZero"/>
        <c:crossBetween val="midCat"/>
      </c:valAx>
      <c:valAx>
        <c:axId val="83448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448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40481</xdr:colOff>
      <xdr:row>2</xdr:row>
      <xdr:rowOff>50006</xdr:rowOff>
    </xdr:from>
    <xdr:to>
      <xdr:col>19</xdr:col>
      <xdr:colOff>369093</xdr:colOff>
      <xdr:row>17</xdr:row>
      <xdr:rowOff>78581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28C9F55-3357-862D-3C3E-6C9D832A4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66675</xdr:colOff>
      <xdr:row>21</xdr:row>
      <xdr:rowOff>33339</xdr:rowOff>
    </xdr:from>
    <xdr:ext cx="871538" cy="3081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2229C7F-F747-432F-A5C2-A91728CC95B2}"/>
                </a:ext>
              </a:extLst>
            </xdr:cNvPr>
            <xdr:cNvSpPr txBox="1"/>
          </xdr:nvSpPr>
          <xdr:spPr>
            <a:xfrm>
              <a:off x="5067300" y="3867152"/>
              <a:ext cx="871538" cy="3081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900" b="1" i="0">
                        <a:latin typeface="Cambria Math" panose="02040503050406030204" pitchFamily="18" charset="0"/>
                      </a:rPr>
                      <m:t>𝐀</m:t>
                    </m:r>
                    <m:r>
                      <a:rPr lang="en-US" sz="900" b="1" i="0">
                        <a:latin typeface="Cambria Math" panose="02040503050406030204" pitchFamily="18" charset="0"/>
                      </a:rPr>
                      <m:t>= </m:t>
                    </m:r>
                    <m:d>
                      <m:dPr>
                        <m:begChr m:val="|"/>
                        <m:endChr m:val="|"/>
                        <m:ctrlPr>
                          <a:rPr lang="en-US" sz="9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9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900" b="1" i="0">
                                <a:latin typeface="Cambria Math" panose="02040503050406030204" pitchFamily="18" charset="0"/>
                              </a:rPr>
                              <m:t>𝐲</m:t>
                            </m:r>
                            <m:r>
                              <a:rPr lang="en-US" sz="900" b="1" i="0">
                                <a:latin typeface="Cambria Math" panose="02040503050406030204" pitchFamily="18" charset="0"/>
                              </a:rPr>
                              <m:t> −</m:t>
                            </m:r>
                            <m:r>
                              <a:rPr lang="en-US" sz="900" b="1" i="0">
                                <a:latin typeface="Cambria Math" panose="02040503050406030204" pitchFamily="18" charset="0"/>
                              </a:rPr>
                              <m:t>𝐲</m:t>
                            </m:r>
                            <m:r>
                              <a:rPr lang="en-US" sz="900" b="1" i="0">
                                <a:latin typeface="Cambria Math" panose="02040503050406030204" pitchFamily="18" charset="0"/>
                              </a:rPr>
                              <m:t>′</m:t>
                            </m:r>
                          </m:num>
                          <m:den>
                            <m:r>
                              <a:rPr lang="en-US" sz="900" b="1" i="0">
                                <a:latin typeface="Cambria Math" panose="02040503050406030204" pitchFamily="18" charset="0"/>
                              </a:rPr>
                              <m:t>𝐲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ru-RU" sz="900" b="1" i="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2229C7F-F747-432F-A5C2-A91728CC95B2}"/>
                </a:ext>
              </a:extLst>
            </xdr:cNvPr>
            <xdr:cNvSpPr txBox="1"/>
          </xdr:nvSpPr>
          <xdr:spPr>
            <a:xfrm>
              <a:off x="5067300" y="3867152"/>
              <a:ext cx="871538" cy="3081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900" b="1" i="0">
                  <a:latin typeface="Cambria Math" panose="02040503050406030204" pitchFamily="18" charset="0"/>
                </a:rPr>
                <a:t>𝐀= |(𝐲 −𝐲′)/𝐲|</a:t>
              </a:r>
              <a:endParaRPr lang="ru-RU" sz="900" b="1" i="0"/>
            </a:p>
          </xdr:txBody>
        </xdr:sp>
      </mc:Fallback>
    </mc:AlternateContent>
    <xdr:clientData/>
  </xdr:oneCellAnchor>
  <xdr:oneCellAnchor>
    <xdr:from>
      <xdr:col>1</xdr:col>
      <xdr:colOff>259556</xdr:colOff>
      <xdr:row>75</xdr:row>
      <xdr:rowOff>26194</xdr:rowOff>
    </xdr:from>
    <xdr:ext cx="585610" cy="4889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ED085EA-CFD8-4DE3-877B-CE9775302618}"/>
                </a:ext>
              </a:extLst>
            </xdr:cNvPr>
            <xdr:cNvSpPr txBox="1"/>
          </xdr:nvSpPr>
          <xdr:spPr>
            <a:xfrm>
              <a:off x="835819" y="7055644"/>
              <a:ext cx="585610" cy="4889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ru-RU" sz="1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|"/>
                            <m:endChr m:val="|"/>
                            <m:ctrlPr>
                              <a:rPr lang="ru-RU" sz="10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m:rPr>
                                <m:sty m:val="p"/>
                              </m:rPr>
                              <a:rPr lang="en-US" sz="1000" b="0" i="0">
                                <a:latin typeface="Cambria Math" panose="02040503050406030204" pitchFamily="18" charset="0"/>
                              </a:rPr>
                              <m:t>r</m:t>
                            </m:r>
                          </m:e>
                        </m:d>
                      </m:num>
                      <m:den>
                        <m:rad>
                          <m:radPr>
                            <m:degHide m:val="on"/>
                            <m:ctrlPr>
                              <a:rPr lang="ru-RU" sz="100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lang="ru-RU" sz="10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000" b="0" i="0">
                                    <a:latin typeface="Cambria Math" panose="02040503050406030204" pitchFamily="18" charset="0"/>
                                  </a:rPr>
                                  <m:t>1−</m:t>
                                </m:r>
                                <m:r>
                                  <m:rPr>
                                    <m:sty m:val="p"/>
                                  </m:rPr>
                                  <a:rPr lang="en-US" sz="1000" b="0" i="0">
                                    <a:latin typeface="Cambria Math" panose="02040503050406030204" pitchFamily="18" charset="0"/>
                                  </a:rPr>
                                  <m:t>r</m:t>
                                </m:r>
                                <m:r>
                                  <a:rPr lang="en-US" sz="1000" b="0" i="0">
                                    <a:latin typeface="Cambria Math" panose="02040503050406030204" pitchFamily="18" charset="0"/>
                                  </a:rPr>
                                  <m:t>²</m:t>
                                </m:r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n-US" sz="1000" b="0" i="0">
                                    <a:latin typeface="Cambria Math" panose="02040503050406030204" pitchFamily="18" charset="0"/>
                                  </a:rPr>
                                  <m:t>n</m:t>
                                </m:r>
                                <m:r>
                                  <a:rPr lang="en-US" sz="1000" b="0" i="0">
                                    <a:latin typeface="Cambria Math" panose="02040503050406030204" pitchFamily="18" charset="0"/>
                                  </a:rPr>
                                  <m:t>−2</m:t>
                                </m:r>
                              </m:den>
                            </m:f>
                          </m:e>
                        </m:rad>
                      </m:den>
                    </m:f>
                    <m:r>
                      <a:rPr lang="en-US" sz="10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ru-RU" sz="1000" i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ED085EA-CFD8-4DE3-877B-CE9775302618}"/>
                </a:ext>
              </a:extLst>
            </xdr:cNvPr>
            <xdr:cNvSpPr txBox="1"/>
          </xdr:nvSpPr>
          <xdr:spPr>
            <a:xfrm>
              <a:off x="835819" y="7055644"/>
              <a:ext cx="585610" cy="4889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000" i="0">
                  <a:latin typeface="Cambria Math" panose="02040503050406030204" pitchFamily="18" charset="0"/>
                </a:rPr>
                <a:t>|</a:t>
              </a:r>
              <a:r>
                <a:rPr lang="en-US" sz="1000" b="0" i="0">
                  <a:latin typeface="Cambria Math" panose="02040503050406030204" pitchFamily="18" charset="0"/>
                </a:rPr>
                <a:t>r</a:t>
              </a:r>
              <a:r>
                <a:rPr lang="ru-RU" sz="1000" b="0" i="0">
                  <a:latin typeface="Cambria Math" panose="02040503050406030204" pitchFamily="18" charset="0"/>
                </a:rPr>
                <a:t>|/√((</a:t>
              </a:r>
              <a:r>
                <a:rPr lang="en-US" sz="1000" b="0" i="0">
                  <a:latin typeface="Cambria Math" panose="02040503050406030204" pitchFamily="18" charset="0"/>
                </a:rPr>
                <a:t>1−r²</a:t>
              </a:r>
              <a:r>
                <a:rPr lang="ru-RU" sz="1000" b="0" i="0">
                  <a:latin typeface="Cambria Math" panose="02040503050406030204" pitchFamily="18" charset="0"/>
                </a:rPr>
                <a:t>)/(</a:t>
              </a:r>
              <a:r>
                <a:rPr lang="en-US" sz="1000" b="0" i="0">
                  <a:latin typeface="Cambria Math" panose="02040503050406030204" pitchFamily="18" charset="0"/>
                </a:rPr>
                <a:t>n−2</a:t>
              </a:r>
              <a:r>
                <a:rPr lang="ru-RU" sz="1000" b="0" i="0">
                  <a:latin typeface="Cambria Math" panose="02040503050406030204" pitchFamily="18" charset="0"/>
                </a:rPr>
                <a:t>))</a:t>
              </a:r>
              <a:r>
                <a:rPr lang="en-US" sz="1000" b="0" i="0">
                  <a:latin typeface="Cambria Math" panose="02040503050406030204" pitchFamily="18" charset="0"/>
                </a:rPr>
                <a:t>=</a:t>
              </a:r>
              <a:endParaRPr lang="ru-RU" sz="1000" i="0"/>
            </a:p>
          </xdr:txBody>
        </xdr:sp>
      </mc:Fallback>
    </mc:AlternateContent>
    <xdr:clientData/>
  </xdr:oneCellAnchor>
  <xdr:oneCellAnchor>
    <xdr:from>
      <xdr:col>9</xdr:col>
      <xdr:colOff>102393</xdr:colOff>
      <xdr:row>78</xdr:row>
      <xdr:rowOff>16668</xdr:rowOff>
    </xdr:from>
    <xdr:ext cx="379912" cy="3365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2CF09A3-7E1D-4D33-AD07-F13137BD845A}"/>
                </a:ext>
              </a:extLst>
            </xdr:cNvPr>
            <xdr:cNvSpPr txBox="1"/>
          </xdr:nvSpPr>
          <xdr:spPr>
            <a:xfrm>
              <a:off x="4988718" y="10989468"/>
              <a:ext cx="379912" cy="336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ru-RU" sz="1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ru-RU" sz="1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000" b="0" i="0">
                                <a:latin typeface="Cambria Math" panose="02040503050406030204" pitchFamily="18" charset="0"/>
                              </a:rPr>
                              <m:t>b</m:t>
                            </m:r>
                          </m:e>
                          <m:sub>
                            <m:r>
                              <a:rPr lang="en-US" sz="1000" b="0" i="0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ru-RU" sz="1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000" b="0" i="0"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sub>
                            <m:sSub>
                              <m:sSubPr>
                                <m:ctrlPr>
                                  <a:rPr lang="ru-RU" sz="10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n-US" sz="1000" b="0" i="0">
                                    <a:latin typeface="Cambria Math" panose="02040503050406030204" pitchFamily="18" charset="0"/>
                                  </a:rPr>
                                  <m:t>b</m:t>
                                </m:r>
                              </m:e>
                              <m:sub>
                                <m:r>
                                  <a:rPr lang="en-US" sz="1000" b="0" i="0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sub>
                        </m:sSub>
                      </m:den>
                    </m:f>
                    <m:r>
                      <a:rPr lang="en-US" sz="10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ru-RU" sz="1000" i="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2CF09A3-7E1D-4D33-AD07-F13137BD845A}"/>
                </a:ext>
              </a:extLst>
            </xdr:cNvPr>
            <xdr:cNvSpPr txBox="1"/>
          </xdr:nvSpPr>
          <xdr:spPr>
            <a:xfrm>
              <a:off x="4988718" y="10989468"/>
              <a:ext cx="379912" cy="336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000" b="0" i="0">
                  <a:latin typeface="Cambria Math" panose="02040503050406030204" pitchFamily="18" charset="0"/>
                </a:rPr>
                <a:t>b</a:t>
              </a:r>
              <a:r>
                <a:rPr lang="ru-RU" sz="1000" b="0" i="0">
                  <a:latin typeface="Cambria Math" panose="02040503050406030204" pitchFamily="18" charset="0"/>
                </a:rPr>
                <a:t>_</a:t>
              </a:r>
              <a:r>
                <a:rPr lang="en-US" sz="1000" b="0" i="0">
                  <a:latin typeface="Cambria Math" panose="02040503050406030204" pitchFamily="18" charset="0"/>
                </a:rPr>
                <a:t>1</a:t>
              </a:r>
              <a:r>
                <a:rPr lang="ru-RU" sz="1000" b="0" i="0">
                  <a:latin typeface="Cambria Math" panose="02040503050406030204" pitchFamily="18" charset="0"/>
                </a:rPr>
                <a:t>/</a:t>
              </a:r>
              <a:r>
                <a:rPr lang="en-US" sz="1000" b="0" i="0">
                  <a:latin typeface="Cambria Math" panose="02040503050406030204" pitchFamily="18" charset="0"/>
                </a:rPr>
                <a:t>m</a:t>
              </a:r>
              <a:r>
                <a:rPr lang="ru-RU" sz="1000" b="0" i="0">
                  <a:latin typeface="Cambria Math" panose="02040503050406030204" pitchFamily="18" charset="0"/>
                </a:rPr>
                <a:t>_(</a:t>
              </a:r>
              <a:r>
                <a:rPr lang="en-US" sz="1000" b="0" i="0">
                  <a:latin typeface="Cambria Math" panose="02040503050406030204" pitchFamily="18" charset="0"/>
                </a:rPr>
                <a:t>b</a:t>
              </a:r>
              <a:r>
                <a:rPr lang="ru-RU" sz="1000" b="0" i="0">
                  <a:latin typeface="Cambria Math" panose="02040503050406030204" pitchFamily="18" charset="0"/>
                </a:rPr>
                <a:t>_</a:t>
              </a:r>
              <a:r>
                <a:rPr lang="en-US" sz="1000" b="0" i="0">
                  <a:latin typeface="Cambria Math" panose="02040503050406030204" pitchFamily="18" charset="0"/>
                </a:rPr>
                <a:t>1</a:t>
              </a:r>
              <a:r>
                <a:rPr lang="ru-RU" sz="1000" b="0" i="0">
                  <a:latin typeface="Cambria Math" panose="02040503050406030204" pitchFamily="18" charset="0"/>
                </a:rPr>
                <a:t> ) </a:t>
              </a:r>
              <a:r>
                <a:rPr lang="en-US" sz="1000" b="0" i="0">
                  <a:latin typeface="Cambria Math" panose="02040503050406030204" pitchFamily="18" charset="0"/>
                </a:rPr>
                <a:t>=</a:t>
              </a:r>
              <a:endParaRPr lang="ru-RU" sz="1000" i="0"/>
            </a:p>
          </xdr:txBody>
        </xdr:sp>
      </mc:Fallback>
    </mc:AlternateContent>
    <xdr:clientData/>
  </xdr:oneCellAnchor>
  <xdr:oneCellAnchor>
    <xdr:from>
      <xdr:col>8</xdr:col>
      <xdr:colOff>0</xdr:colOff>
      <xdr:row>75</xdr:row>
      <xdr:rowOff>73819</xdr:rowOff>
    </xdr:from>
    <xdr:ext cx="591575" cy="1840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A3C62FC-747C-4656-95F0-FBEE3E82634B}"/>
                </a:ext>
              </a:extLst>
            </xdr:cNvPr>
            <xdr:cNvSpPr txBox="1"/>
          </xdr:nvSpPr>
          <xdr:spPr>
            <a:xfrm>
              <a:off x="4291013" y="7103269"/>
              <a:ext cx="591575" cy="1840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0">
                            <a:latin typeface="Cambria Math" panose="02040503050406030204" pitchFamily="18" charset="0"/>
                          </a:rPr>
                          <m:t>𝐦</m:t>
                        </m:r>
                      </m:e>
                      <m:sub>
                        <m:sSub>
                          <m:sSubPr>
                            <m:ctrlPr>
                              <a:rPr lang="ru-RU" sz="11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1" i="0">
                                <a:latin typeface="Cambria Math" panose="02040503050406030204" pitchFamily="18" charset="0"/>
                              </a:rPr>
                              <m:t>𝐛</m:t>
                            </m:r>
                          </m:e>
                          <m:sub>
                            <m:r>
                              <a:rPr lang="en-US" sz="1100" b="1" i="0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ru-RU" sz="1100" b="1" i="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A3C62FC-747C-4656-95F0-FBEE3E82634B}"/>
                </a:ext>
              </a:extLst>
            </xdr:cNvPr>
            <xdr:cNvSpPr txBox="1"/>
          </xdr:nvSpPr>
          <xdr:spPr>
            <a:xfrm>
              <a:off x="4291013" y="7103269"/>
              <a:ext cx="591575" cy="1840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𝐦</a:t>
              </a:r>
              <a:r>
                <a:rPr lang="ru-RU" sz="1100" b="1" i="0">
                  <a:latin typeface="Cambria Math" panose="02040503050406030204" pitchFamily="18" charset="0"/>
                </a:rPr>
                <a:t>_(</a:t>
              </a:r>
              <a:r>
                <a:rPr lang="en-US" sz="1100" b="1" i="0">
                  <a:latin typeface="Cambria Math" panose="02040503050406030204" pitchFamily="18" charset="0"/>
                </a:rPr>
                <a:t>𝐛</a:t>
              </a:r>
              <a:r>
                <a:rPr lang="ru-RU" sz="1100" b="1" i="0">
                  <a:latin typeface="Cambria Math" panose="02040503050406030204" pitchFamily="18" charset="0"/>
                </a:rPr>
                <a:t>_</a:t>
              </a:r>
              <a:r>
                <a:rPr lang="en-US" sz="1100" b="1" i="0">
                  <a:latin typeface="Cambria Math" panose="02040503050406030204" pitchFamily="18" charset="0"/>
                </a:rPr>
                <a:t>𝟏 </a:t>
              </a:r>
              <a:r>
                <a:rPr lang="ru-RU" sz="1100" b="1" i="0">
                  <a:latin typeface="Cambria Math" panose="02040503050406030204" pitchFamily="18" charset="0"/>
                </a:rPr>
                <a:t>)</a:t>
              </a:r>
              <a:r>
                <a:rPr lang="en-US" sz="1100" b="1" i="0">
                  <a:latin typeface="Cambria Math" panose="02040503050406030204" pitchFamily="18" charset="0"/>
                </a:rPr>
                <a:t>=</a:t>
              </a:r>
              <a:endParaRPr lang="ru-RU" sz="1100" b="1" i="0"/>
            </a:p>
          </xdr:txBody>
        </xdr:sp>
      </mc:Fallback>
    </mc:AlternateContent>
    <xdr:clientData/>
  </xdr:oneCellAnchor>
  <xdr:oneCellAnchor>
    <xdr:from>
      <xdr:col>9</xdr:col>
      <xdr:colOff>135732</xdr:colOff>
      <xdr:row>74</xdr:row>
      <xdr:rowOff>178594</xdr:rowOff>
    </xdr:from>
    <xdr:ext cx="1915589" cy="3468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34B4A62-B0A7-4985-852A-45664D6ADBDE}"/>
                </a:ext>
              </a:extLst>
            </xdr:cNvPr>
            <xdr:cNvSpPr txBox="1"/>
          </xdr:nvSpPr>
          <xdr:spPr>
            <a:xfrm>
              <a:off x="5022057" y="10427494"/>
              <a:ext cx="1915589" cy="3468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ru-RU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nary>
                            <m:naryPr>
                              <m:chr m:val="∑"/>
                              <m:subHide m:val="on"/>
                              <m:supHide m:val="on"/>
                              <m:ctrlPr>
                                <a:rPr lang="ru-RU" sz="1100" i="1">
                                  <a:latin typeface="Cambria Math" panose="02040503050406030204" pitchFamily="18" charset="0"/>
                                </a:rPr>
                              </m:ctrlPr>
                            </m:naryPr>
                            <m:sub/>
                            <m:sup/>
                            <m:e>
                              <m:r>
                                <a:rPr lang="en-US" sz="1100" b="0" i="0">
                                  <a:latin typeface="Cambria Math" panose="02040503050406030204" pitchFamily="18" charset="0"/>
                                </a:rPr>
                                <m:t>(</m:t>
                              </m:r>
                              <m:r>
                                <m:rPr>
                                  <m:sty m:val="p"/>
                                </m:rPr>
                                <a:rPr lang="en-US" sz="1100" b="0" i="0">
                                  <a:latin typeface="Cambria Math" panose="02040503050406030204" pitchFamily="18" charset="0"/>
                                </a:rPr>
                                <m:t>y</m:t>
                              </m:r>
                              <m:r>
                                <a:rPr lang="en-US" sz="1100" b="0" i="0">
                                  <a:latin typeface="Cambria Math" panose="02040503050406030204" pitchFamily="18" charset="0"/>
                                </a:rPr>
                                <m:t> −</m:t>
                              </m:r>
                              <m:sSup>
                                <m:sSupPr>
                                  <m:ctrlPr>
                                    <a:rPr lang="en-US" sz="1100" b="0" i="1">
                                      <a:latin typeface="Cambria Math" panose="02040503050406030204" pitchFamily="18" charset="0"/>
                                    </a:rPr>
                                  </m:ctrlPr>
                                </m:sSupPr>
                                <m:e>
                                  <m:r>
                                    <m:rPr>
                                      <m:sty m:val="p"/>
                                    </m:rPr>
                                    <a:rPr lang="en-US" sz="1100" b="0" i="0">
                                      <a:latin typeface="Cambria Math" panose="02040503050406030204" pitchFamily="18" charset="0"/>
                                    </a:rPr>
                                    <m:t>y</m:t>
                                  </m:r>
                                </m:e>
                                <m:sup>
                                  <m:r>
                                    <a:rPr lang="en-US" sz="1100" b="0" i="0">
                                      <a:latin typeface="Cambria Math" panose="02040503050406030204" pitchFamily="18" charset="0"/>
                                    </a:rPr>
                                    <m:t>′</m:t>
                                  </m:r>
                                </m:sup>
                              </m:sSup>
                              <m:r>
                                <a:rPr lang="en-US" sz="1100" b="0" i="0">
                                  <a:latin typeface="Cambria Math" panose="02040503050406030204" pitchFamily="18" charset="0"/>
                                </a:rPr>
                                <m:t>)²</m:t>
                              </m:r>
                            </m:e>
                          </m:nary>
                        </m:num>
                        <m:den>
                          <m:d>
                            <m:dPr>
                              <m:ctrlPr>
                                <a:rPr lang="en-US" sz="1100" b="0" i="1">
                                  <a:latin typeface="Cambria Math" panose="02040503050406030204" pitchFamily="18" charset="0"/>
                                </a:rPr>
                              </m:ctrlPr>
                            </m:dPr>
                            <m:e>
                              <m:r>
                                <m:rPr>
                                  <m:sty m:val="p"/>
                                </m:rPr>
                                <a:rPr lang="en-US" sz="1100" b="0" i="0">
                                  <a:latin typeface="Cambria Math" panose="02040503050406030204" pitchFamily="18" charset="0"/>
                                </a:rPr>
                                <m:t>n</m:t>
                              </m:r>
                              <m:r>
                                <a:rPr lang="en-US" sz="1100" b="0" i="0">
                                  <a:latin typeface="Cambria Math" panose="02040503050406030204" pitchFamily="18" charset="0"/>
                                </a:rPr>
                                <m:t>−2</m:t>
                              </m:r>
                            </m:e>
                          </m:d>
                          <m:r>
                            <a:rPr lang="en-US" sz="1100" b="0" i="0">
                              <a:latin typeface="Cambria Math" panose="02040503050406030204" pitchFamily="18" charset="0"/>
                            </a:rPr>
                            <m:t>∗</m:t>
                          </m:r>
                          <m:nary>
                            <m:naryPr>
                              <m:chr m:val="∑"/>
                              <m:subHide m:val="on"/>
                              <m:supHide m:val="on"/>
                              <m:ctrlPr>
                                <a:rPr lang="en-US" sz="1100" b="0" i="1">
                                  <a:latin typeface="Cambria Math" panose="02040503050406030204" pitchFamily="18" charset="0"/>
                                </a:rPr>
                              </m:ctrlPr>
                            </m:naryPr>
                            <m:sub/>
                            <m:sup/>
                            <m:e>
                              <m:r>
                                <a:rPr lang="en-US" sz="1100" b="0" i="0">
                                  <a:latin typeface="Cambria Math" panose="02040503050406030204" pitchFamily="18" charset="0"/>
                                </a:rPr>
                                <m:t>(</m:t>
                              </m:r>
                              <m:r>
                                <m:rPr>
                                  <m:sty m:val="p"/>
                                </m:rPr>
                                <a:rPr lang="en-US" sz="1100" b="0" i="0">
                                  <a:latin typeface="Cambria Math" panose="02040503050406030204" pitchFamily="18" charset="0"/>
                                </a:rPr>
                                <m:t>x</m:t>
                              </m:r>
                              <m:r>
                                <a:rPr lang="en-US" sz="1100" b="0" i="0">
                                  <a:latin typeface="Cambria Math" panose="02040503050406030204" pitchFamily="18" charset="0"/>
                                </a:rPr>
                                <m:t>−</m:t>
                              </m:r>
                              <m:acc>
                                <m:accPr>
                                  <m:chr m:val="̅"/>
                                  <m:ctrlPr>
                                    <a:rPr lang="en-US" sz="1100" b="0" i="1">
                                      <a:latin typeface="Cambria Math" panose="02040503050406030204" pitchFamily="18" charset="0"/>
                                    </a:rPr>
                                  </m:ctrlPr>
                                </m:accPr>
                                <m:e>
                                  <m:r>
                                    <m:rPr>
                                      <m:sty m:val="p"/>
                                    </m:rPr>
                                    <a:rPr lang="en-US" sz="1100" b="0" i="0">
                                      <a:latin typeface="Cambria Math" panose="02040503050406030204" pitchFamily="18" charset="0"/>
                                    </a:rPr>
                                    <m:t>X</m:t>
                                  </m:r>
                                </m:e>
                              </m:acc>
                              <m:r>
                                <a:rPr lang="en-US" sz="1100" b="0" i="0">
                                  <a:latin typeface="Cambria Math" panose="02040503050406030204" pitchFamily="18" charset="0"/>
                                </a:rPr>
                                <m:t>)²</m:t>
                              </m:r>
                            </m:e>
                          </m:nary>
                        </m:den>
                      </m:f>
                      <m:r>
                        <a:rPr lang="en-US" sz="1100" b="0" i="0">
                          <a:latin typeface="Cambria Math" panose="02040503050406030204" pitchFamily="18" charset="0"/>
                        </a:rPr>
                        <m:t> </m:t>
                      </m:r>
                    </m:e>
                  </m:rad>
                  <m:r>
                    <a:rPr lang="en-US" sz="1100" b="0" i="0">
                      <a:latin typeface="Cambria Math" panose="02040503050406030204" pitchFamily="18" charset="0"/>
                    </a:rPr>
                    <m:t>= </m:t>
                  </m:r>
                  <m:rad>
                    <m:radPr>
                      <m:degHide m:val="on"/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nary>
                            <m:naryPr>
                              <m:chr m:val="∑"/>
                              <m:subHide m:val="on"/>
                              <m:supHide m:val="on"/>
                              <m:ctrlPr>
                                <a:rPr lang="ru-RU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naryPr>
                            <m:sub/>
                            <m:sup/>
                            <m:e>
                              <m:r>
                                <a:rPr lang="en-US" sz="11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(</m:t>
                              </m:r>
                              <m:r>
                                <m:rPr>
                                  <m:sty m:val="p"/>
                                </m:rPr>
                                <a:rPr lang="en-US" sz="11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y</m:t>
                              </m:r>
                              <m:r>
                                <a:rPr lang="en-US" sz="11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−</m:t>
                              </m:r>
                              <m:sSup>
                                <m:sSupPr>
                                  <m:ctrlPr>
                                    <a:rPr lang="en-US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pPr>
                                <m:e>
                                  <m:r>
                                    <m:rPr>
                                      <m:sty m:val="p"/>
                                    </m:rPr>
                                    <a:rPr lang="en-US" sz="11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y</m:t>
                                  </m:r>
                                </m:e>
                                <m:sup>
                                  <m:r>
                                    <a:rPr lang="en-US" sz="11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′</m:t>
                                  </m:r>
                                </m:sup>
                              </m:sSup>
                              <m:r>
                                <a:rPr lang="en-US" sz="11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)²</m:t>
                              </m:r>
                            </m:e>
                          </m:nary>
                        </m:num>
                        <m:den>
                          <m:d>
                            <m:dPr>
                              <m:ctrlP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dPr>
                            <m:e>
                              <m:r>
                                <m:rPr>
                                  <m:sty m:val="p"/>
                                </m:rPr>
                                <a:rPr lang="en-US" sz="11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n</m:t>
                              </m:r>
                              <m:r>
                                <a:rPr lang="en-US" sz="11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−2</m:t>
                              </m:r>
                            </m:e>
                          </m:d>
                          <m:r>
                            <a:rPr lang="en-US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∗</m:t>
                          </m:r>
                          <m:sSubSup>
                            <m:sSubSupPr>
                              <m:ctrlP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SupPr>
                            <m:e>
                              <m:r>
                                <m:rPr>
                                  <m:sty m:val="p"/>
                                </m:rPr>
                                <a:rPr lang="el-GR" sz="11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σ</m:t>
                              </m:r>
                            </m:e>
                            <m:sub>
                              <m:r>
                                <m:rPr>
                                  <m:sty m:val="p"/>
                                </m:rPr>
                                <a:rPr lang="en-US" sz="11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x</m:t>
                              </m:r>
                            </m:sub>
                            <m:sup>
                              <m:r>
                                <a:rPr lang="en-US" sz="11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bSup>
                          <m:r>
                            <a:rPr lang="en-US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∗</m:t>
                          </m:r>
                          <m:r>
                            <m:rPr>
                              <m:sty m:val="p"/>
                            </m:rPr>
                            <a:rPr lang="en-US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n</m:t>
                          </m:r>
                        </m:den>
                      </m:f>
                    </m:e>
                  </m:rad>
                </m:oMath>
              </a14:m>
              <a:r>
                <a:rPr lang="en-US" sz="1100" i="0"/>
                <a:t> =</a:t>
              </a:r>
              <a:endParaRPr lang="ru-RU" sz="1100" i="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34B4A62-B0A7-4985-852A-45664D6ADBDE}"/>
                </a:ext>
              </a:extLst>
            </xdr:cNvPr>
            <xdr:cNvSpPr txBox="1"/>
          </xdr:nvSpPr>
          <xdr:spPr>
            <a:xfrm>
              <a:off x="5022057" y="10427494"/>
              <a:ext cx="1915589" cy="3468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√((∑▒〖</a:t>
              </a:r>
              <a:r>
                <a:rPr lang="en-US" sz="1100" b="0" i="0">
                  <a:latin typeface="Cambria Math" panose="02040503050406030204" pitchFamily="18" charset="0"/>
                </a:rPr>
                <a:t>(y −y^′)²</a:t>
              </a:r>
              <a:r>
                <a:rPr lang="ru-RU" sz="1100" b="0" i="0">
                  <a:latin typeface="Cambria Math" panose="02040503050406030204" pitchFamily="18" charset="0"/>
                </a:rPr>
                <a:t>〗)/(</a:t>
              </a:r>
              <a:r>
                <a:rPr lang="en-US" sz="1100" b="0" i="0">
                  <a:latin typeface="Cambria Math" panose="02040503050406030204" pitchFamily="18" charset="0"/>
                </a:rPr>
                <a:t>(n−2)∗∑▒〖(x−X ̅)²〗</a:t>
              </a:r>
              <a:r>
                <a:rPr lang="ru-RU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  </a:t>
              </a:r>
              <a:r>
                <a:rPr lang="ru-RU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= 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√((∑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▒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(y −y^′)²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(n−2)∗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σ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_x^2∗n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))</a:t>
              </a:r>
              <a:r>
                <a:rPr lang="en-US" sz="1100" i="0"/>
                <a:t> =</a:t>
              </a:r>
              <a:endParaRPr lang="ru-RU" sz="1100" i="0"/>
            </a:p>
          </xdr:txBody>
        </xdr:sp>
      </mc:Fallback>
    </mc:AlternateContent>
    <xdr:clientData/>
  </xdr:oneCellAnchor>
  <xdr:oneCellAnchor>
    <xdr:from>
      <xdr:col>1</xdr:col>
      <xdr:colOff>178593</xdr:colOff>
      <xdr:row>94</xdr:row>
      <xdr:rowOff>35718</xdr:rowOff>
    </xdr:from>
    <xdr:ext cx="1930721" cy="2982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DC274DD-C7C3-4E7D-BAAD-B0B0CC84CE64}"/>
                </a:ext>
              </a:extLst>
            </xdr:cNvPr>
            <xdr:cNvSpPr txBox="1"/>
          </xdr:nvSpPr>
          <xdr:spPr>
            <a:xfrm>
              <a:off x="721518" y="13923168"/>
              <a:ext cx="1930721" cy="298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ru-RU" sz="10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nary>
                        <m:naryPr>
                          <m:chr m:val="∑"/>
                          <m:subHide m:val="on"/>
                          <m:supHide m:val="on"/>
                          <m:ctrlPr>
                            <a:rPr lang="ru-RU" sz="1000" i="1">
                              <a:latin typeface="Cambria Math" panose="02040503050406030204" pitchFamily="18" charset="0"/>
                            </a:rPr>
                          </m:ctrlPr>
                        </m:naryPr>
                        <m:sub/>
                        <m:sup/>
                        <m:e>
                          <m:r>
                            <a:rPr lang="en-US" sz="1000" b="0" i="0">
                              <a:latin typeface="Cambria Math" panose="02040503050406030204" pitchFamily="18" charset="0"/>
                            </a:rPr>
                            <m:t>(</m:t>
                          </m:r>
                          <m:r>
                            <m:rPr>
                              <m:sty m:val="p"/>
                            </m:rPr>
                            <a:rPr lang="en-US" sz="1000" b="0" i="0">
                              <a:latin typeface="Cambria Math" panose="02040503050406030204" pitchFamily="18" charset="0"/>
                            </a:rPr>
                            <m:t>y</m:t>
                          </m:r>
                          <m:r>
                            <a:rPr lang="en-US" sz="1000" b="0" i="0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000" b="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m:rPr>
                                  <m:sty m:val="p"/>
                                </m:rPr>
                                <a:rPr lang="en-US" sz="1000" b="0" i="0">
                                  <a:latin typeface="Cambria Math" panose="02040503050406030204" pitchFamily="18" charset="0"/>
                                </a:rPr>
                                <m:t>y</m:t>
                              </m:r>
                            </m:e>
                            <m:sup>
                              <m:r>
                                <a:rPr lang="en-US" sz="1000" b="0" i="0">
                                  <a:latin typeface="Cambria Math" panose="02040503050406030204" pitchFamily="18" charset="0"/>
                                </a:rPr>
                                <m:t>′</m:t>
                              </m:r>
                            </m:sup>
                          </m:sSup>
                          <m:r>
                            <a:rPr lang="en-US" sz="1000" b="0" i="0">
                              <a:latin typeface="Cambria Math" panose="02040503050406030204" pitchFamily="18" charset="0"/>
                            </a:rPr>
                            <m:t>)²</m:t>
                          </m:r>
                        </m:e>
                      </m:nary>
                      <m:r>
                        <a:rPr lang="en-US" sz="1000" b="0" i="0">
                          <a:latin typeface="Cambria Math" panose="02040503050406030204" pitchFamily="18" charset="0"/>
                        </a:rPr>
                        <m:t>/</m:t>
                      </m:r>
                      <m:r>
                        <m:rPr>
                          <m:sty m:val="p"/>
                        </m:rPr>
                        <a:rPr lang="en-US" sz="1000" b="0" i="0">
                          <a:latin typeface="Cambria Math" panose="02040503050406030204" pitchFamily="18" charset="0"/>
                        </a:rPr>
                        <m:t>k</m:t>
                      </m:r>
                    </m:num>
                    <m:den>
                      <m:nary>
                        <m:naryPr>
                          <m:chr m:val="∑"/>
                          <m:subHide m:val="on"/>
                          <m:supHide m:val="on"/>
                          <m:ctrlPr>
                            <a:rPr lang="ru-RU" sz="1000" i="1">
                              <a:latin typeface="Cambria Math" panose="02040503050406030204" pitchFamily="18" charset="0"/>
                            </a:rPr>
                          </m:ctrlPr>
                        </m:naryPr>
                        <m:sub/>
                        <m:sup/>
                        <m:e>
                          <m:sSup>
                            <m:sSupPr>
                              <m:ctrlPr>
                                <a:rPr lang="en-US" sz="10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d>
                                <m:dPr>
                                  <m:ctrlPr>
                                    <a:rPr lang="en-US" sz="10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dPr>
                                <m:e>
                                  <m:r>
                                    <m:rPr>
                                      <m:sty m:val="p"/>
                                    </m:rPr>
                                    <a:rPr lang="en-US" sz="10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y</m:t>
                                  </m:r>
                                  <m:r>
                                    <a:rPr lang="en-US" sz="1000" b="0" i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−</m:t>
                                  </m:r>
                                  <m:sSup>
                                    <m:sSupPr>
                                      <m:ctrlPr>
                                        <a:rPr lang="en-US" sz="10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pPr>
                                    <m:e>
                                      <m:r>
                                        <m:rPr>
                                          <m:sty m:val="p"/>
                                        </m:rPr>
                                        <a:rPr lang="en-US" sz="1000" b="0" i="0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y</m:t>
                                      </m:r>
                                    </m:e>
                                    <m:sup>
                                      <m:r>
                                        <a:rPr lang="en-US" sz="1000" b="0" i="0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′</m:t>
                                      </m:r>
                                    </m:sup>
                                  </m:sSup>
                                </m:e>
                              </m:d>
                            </m:e>
                            <m:sup>
                              <m:r>
                                <a:rPr lang="en-US" sz="10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</m:e>
                      </m:nary>
                      <m:r>
                        <a:rPr lang="en-US" sz="1000" b="0" i="0">
                          <a:latin typeface="Cambria Math" panose="02040503050406030204" pitchFamily="18" charset="0"/>
                        </a:rPr>
                        <m:t>/(</m:t>
                      </m:r>
                      <m:r>
                        <m:rPr>
                          <m:sty m:val="p"/>
                        </m:rPr>
                        <a:rPr lang="en-US" sz="1000" b="0" i="0">
                          <a:latin typeface="Cambria Math" panose="02040503050406030204" pitchFamily="18" charset="0"/>
                        </a:rPr>
                        <m:t>n</m:t>
                      </m:r>
                      <m:r>
                        <a:rPr lang="en-US" sz="1000" b="0" i="0">
                          <a:latin typeface="Cambria Math" panose="02040503050406030204" pitchFamily="18" charset="0"/>
                        </a:rPr>
                        <m:t>−</m:t>
                      </m:r>
                      <m:r>
                        <m:rPr>
                          <m:sty m:val="p"/>
                        </m:rPr>
                        <a:rPr lang="en-US" sz="1000" b="0" i="0">
                          <a:latin typeface="Cambria Math" panose="02040503050406030204" pitchFamily="18" charset="0"/>
                        </a:rPr>
                        <m:t>k</m:t>
                      </m:r>
                      <m:r>
                        <a:rPr lang="en-US" sz="1000" b="0" i="0">
                          <a:latin typeface="Cambria Math" panose="02040503050406030204" pitchFamily="18" charset="0"/>
                        </a:rPr>
                        <m:t>−1)</m:t>
                      </m:r>
                    </m:den>
                  </m:f>
                  <m:r>
                    <a:rPr lang="en-US" sz="1000" b="0" i="0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n-US" sz="10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sty m:val="p"/>
                        </m:rPr>
                        <a:rPr lang="en-US" sz="1000" b="0" i="0">
                          <a:latin typeface="Cambria Math" panose="02040503050406030204" pitchFamily="18" charset="0"/>
                        </a:rPr>
                        <m:t>r</m:t>
                      </m:r>
                      <m:r>
                        <a:rPr lang="en-US" sz="1000" b="0" i="0">
                          <a:latin typeface="Cambria Math" panose="02040503050406030204" pitchFamily="18" charset="0"/>
                        </a:rPr>
                        <m:t>²</m:t>
                      </m:r>
                    </m:num>
                    <m:den>
                      <m:r>
                        <a:rPr lang="en-US" sz="1000" b="0" i="0">
                          <a:latin typeface="Cambria Math" panose="02040503050406030204" pitchFamily="18" charset="0"/>
                        </a:rPr>
                        <m:t>1−</m:t>
                      </m:r>
                      <m:r>
                        <m:rPr>
                          <m:sty m:val="p"/>
                        </m:rPr>
                        <a:rPr lang="en-US" sz="1000" b="0" i="0">
                          <a:latin typeface="Cambria Math" panose="02040503050406030204" pitchFamily="18" charset="0"/>
                        </a:rPr>
                        <m:t>r</m:t>
                      </m:r>
                      <m:r>
                        <a:rPr lang="en-US" sz="1000" b="0" i="0">
                          <a:latin typeface="Cambria Math" panose="02040503050406030204" pitchFamily="18" charset="0"/>
                        </a:rPr>
                        <m:t>²</m:t>
                      </m:r>
                    </m:den>
                  </m:f>
                  <m:r>
                    <a:rPr lang="en-US" sz="1000" b="0" i="0">
                      <a:latin typeface="Cambria Math" panose="02040503050406030204" pitchFamily="18" charset="0"/>
                    </a:rPr>
                    <m:t>∗</m:t>
                  </m:r>
                  <m:d>
                    <m:dPr>
                      <m:ctrlPr>
                        <a:rPr lang="en-US" sz="10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m:rPr>
                          <m:sty m:val="p"/>
                        </m:rPr>
                        <a:rPr lang="en-US" sz="1000" b="0" i="0">
                          <a:latin typeface="Cambria Math" panose="02040503050406030204" pitchFamily="18" charset="0"/>
                        </a:rPr>
                        <m:t>n</m:t>
                      </m:r>
                      <m:r>
                        <a:rPr lang="en-US" sz="1000" b="0" i="0">
                          <a:latin typeface="Cambria Math" panose="02040503050406030204" pitchFamily="18" charset="0"/>
                        </a:rPr>
                        <m:t>−2</m:t>
                      </m:r>
                    </m:e>
                  </m:d>
                  <m:r>
                    <a:rPr lang="en-US" sz="10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100"/>
                <a:t> </a:t>
              </a:r>
              <a:endParaRPr lang="ru-R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DC274DD-C7C3-4E7D-BAAD-B0B0CC84CE64}"/>
                </a:ext>
              </a:extLst>
            </xdr:cNvPr>
            <xdr:cNvSpPr txBox="1"/>
          </xdr:nvSpPr>
          <xdr:spPr>
            <a:xfrm>
              <a:off x="721518" y="13923168"/>
              <a:ext cx="1930721" cy="298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000" i="0">
                  <a:latin typeface="Cambria Math" panose="02040503050406030204" pitchFamily="18" charset="0"/>
                </a:rPr>
                <a:t>(∑▒〖</a:t>
              </a:r>
              <a:r>
                <a:rPr lang="en-US" sz="1000" b="0" i="0">
                  <a:latin typeface="Cambria Math" panose="02040503050406030204" pitchFamily="18" charset="0"/>
                </a:rPr>
                <a:t>(y−y^′)²</a:t>
              </a:r>
              <a:r>
                <a:rPr lang="ru-RU" sz="1000" b="0" i="0">
                  <a:latin typeface="Cambria Math" panose="02040503050406030204" pitchFamily="18" charset="0"/>
                </a:rPr>
                <a:t>〗</a:t>
              </a:r>
              <a:r>
                <a:rPr lang="en-US" sz="1000" b="0" i="0">
                  <a:latin typeface="Cambria Math" panose="02040503050406030204" pitchFamily="18" charset="0"/>
                </a:rPr>
                <a:t>/k</a:t>
              </a:r>
              <a:r>
                <a:rPr lang="ru-RU" sz="1000" b="0" i="0">
                  <a:latin typeface="Cambria Math" panose="02040503050406030204" pitchFamily="18" charset="0"/>
                </a:rPr>
                <a:t>)/(∑▒</a:t>
              </a:r>
              <a:r>
                <a:rPr lang="en-US" sz="1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0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y−y^′</a:t>
              </a:r>
              <a:r>
                <a:rPr lang="en-US" sz="1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)^</a:t>
              </a:r>
              <a:r>
                <a:rPr lang="en-US" sz="10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ru-RU" sz="1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000" b="0" i="0">
                  <a:latin typeface="Cambria Math" panose="02040503050406030204" pitchFamily="18" charset="0"/>
                </a:rPr>
                <a:t>/(n−k−1)</a:t>
              </a:r>
              <a:r>
                <a:rPr lang="ru-RU" sz="1000" b="0" i="0">
                  <a:latin typeface="Cambria Math" panose="02040503050406030204" pitchFamily="18" charset="0"/>
                </a:rPr>
                <a:t>)</a:t>
              </a:r>
              <a:r>
                <a:rPr lang="en-US" sz="1000" b="0" i="0">
                  <a:latin typeface="Cambria Math" panose="02040503050406030204" pitchFamily="18" charset="0"/>
                </a:rPr>
                <a:t>=  r²/(1−r²)∗(n−2)=</a:t>
              </a:r>
              <a:r>
                <a:rPr lang="en-US" sz="1100"/>
                <a:t> 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11</xdr:col>
      <xdr:colOff>221456</xdr:colOff>
      <xdr:row>21</xdr:row>
      <xdr:rowOff>307181</xdr:rowOff>
    </xdr:from>
    <xdr:to>
      <xdr:col>19</xdr:col>
      <xdr:colOff>450056</xdr:colOff>
      <xdr:row>36</xdr:row>
      <xdr:rowOff>135731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40BADA25-EE2F-9CF6-A384-447ED8463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</xdr:col>
      <xdr:colOff>326231</xdr:colOff>
      <xdr:row>48</xdr:row>
      <xdr:rowOff>45244</xdr:rowOff>
    </xdr:from>
    <xdr:ext cx="1608902" cy="462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F594FB2-ABE1-6874-E52C-0B4E8A70702A}"/>
                </a:ext>
              </a:extLst>
            </xdr:cNvPr>
            <xdr:cNvSpPr txBox="1"/>
          </xdr:nvSpPr>
          <xdr:spPr>
            <a:xfrm>
              <a:off x="912019" y="9013032"/>
              <a:ext cx="1608902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ru-RU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ru-RU" sz="1100" b="0" i="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n</m:t>
                        </m:r>
                      </m:den>
                    </m:f>
                    <m:r>
                      <a:rPr lang="en-US" sz="1100" b="0" i="0">
                        <a:latin typeface="Cambria Math" panose="02040503050406030204" pitchFamily="18" charset="0"/>
                      </a:rPr>
                      <m:t> ∗ </m:t>
                    </m:r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sty m:val="p"/>
                            <m:brk m:alnAt="23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i</m:t>
                        </m:r>
                      </m:sub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n</m:t>
                        </m:r>
                      </m:sup>
                      <m:e>
                        <m:d>
                          <m:dPr>
                            <m:begChr m:val="|"/>
                            <m:endChr m:val="|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n-US" sz="1100" b="0" i="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y</m:t>
                                    </m:r>
                                  </m:e>
                                  <m:sub>
                                    <m:r>
                                      <m:rPr>
                                        <m:sty m:val="p"/>
                                      </m:rPr>
                                      <a:rPr lang="en-US" sz="1100" b="0" i="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i</m:t>
                                    </m:r>
                                  </m:sub>
                                </m:sSub>
                                <m:r>
                                  <a:rPr lang="en-US" sz="11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−</m:t>
                                </m:r>
                                <m:sSub>
                                  <m:sSubPr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n-US" sz="1100" b="0" i="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y</m:t>
                                    </m:r>
                                  </m:e>
                                  <m:sub>
                                    <m:r>
                                      <m:rPr>
                                        <m:sty m:val="p"/>
                                      </m:rPr>
                                      <a:rPr lang="en-US" sz="1100" b="0" i="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i</m:t>
                                    </m:r>
                                  </m:sub>
                                </m:sSub>
                                <m:r>
                                  <a:rPr lang="en-US" sz="11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′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n-US" sz="1100" b="0" i="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y</m:t>
                                    </m:r>
                                  </m:e>
                                  <m:sub>
                                    <m:r>
                                      <m:rPr>
                                        <m:sty m:val="p"/>
                                      </m:rPr>
                                      <a:rPr lang="en-US" sz="1100" b="0" i="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i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</m:nary>
                    <m:r>
                      <a:rPr lang="en-US" sz="1100" b="0" i="0">
                        <a:latin typeface="Cambria Math" panose="02040503050406030204" pitchFamily="18" charset="0"/>
                      </a:rPr>
                      <m:t> ∗100%</m:t>
                    </m:r>
                  </m:oMath>
                </m:oMathPara>
              </a14:m>
              <a:endParaRPr lang="ru-RU" sz="1100" b="0" i="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F594FB2-ABE1-6874-E52C-0B4E8A70702A}"/>
                </a:ext>
              </a:extLst>
            </xdr:cNvPr>
            <xdr:cNvSpPr txBox="1"/>
          </xdr:nvSpPr>
          <xdr:spPr>
            <a:xfrm>
              <a:off x="912019" y="9013032"/>
              <a:ext cx="1608902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b="0" i="0">
                  <a:latin typeface="Cambria Math" panose="02040503050406030204" pitchFamily="18" charset="0"/>
                </a:rPr>
                <a:t>1/</a:t>
              </a:r>
              <a:r>
                <a:rPr lang="en-US" sz="1100" b="0" i="0">
                  <a:latin typeface="Cambria Math" panose="02040503050406030204" pitchFamily="18" charset="0"/>
                </a:rPr>
                <a:t>n  ∗ ∑24_i^n▒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|(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y_i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y_i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′)/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y_i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|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 ∗100%</a:t>
              </a:r>
              <a:endParaRPr lang="ru-RU" sz="1100" b="0" i="0"/>
            </a:p>
          </xdr:txBody>
        </xdr:sp>
      </mc:Fallback>
    </mc:AlternateContent>
    <xdr:clientData/>
  </xdr:oneCellAnchor>
  <xdr:oneCellAnchor>
    <xdr:from>
      <xdr:col>0</xdr:col>
      <xdr:colOff>159544</xdr:colOff>
      <xdr:row>49</xdr:row>
      <xdr:rowOff>11907</xdr:rowOff>
    </xdr:from>
    <xdr:ext cx="269817" cy="1756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57E1803-52F5-37B3-7936-1AE3810CCDAD}"/>
                </a:ext>
              </a:extLst>
            </xdr:cNvPr>
            <xdr:cNvSpPr txBox="1"/>
          </xdr:nvSpPr>
          <xdr:spPr>
            <a:xfrm>
              <a:off x="159544" y="9132095"/>
              <a:ext cx="269817" cy="175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sz="11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1" i="0">
                            <a:latin typeface="Cambria Math" panose="02040503050406030204" pitchFamily="18" charset="0"/>
                          </a:rPr>
                          <m:t>𝐀</m:t>
                        </m:r>
                      </m:e>
                    </m:acc>
                    <m:r>
                      <a:rPr lang="en-US" sz="1100" b="1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ru-RU" sz="1100" b="1" i="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57E1803-52F5-37B3-7936-1AE3810CCDAD}"/>
                </a:ext>
              </a:extLst>
            </xdr:cNvPr>
            <xdr:cNvSpPr txBox="1"/>
          </xdr:nvSpPr>
          <xdr:spPr>
            <a:xfrm>
              <a:off x="159544" y="9132095"/>
              <a:ext cx="269817" cy="175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</a:rPr>
                <a:t>𝐀</a:t>
              </a:r>
              <a:r>
                <a:rPr lang="ru-RU" sz="1100" b="1" i="0">
                  <a:latin typeface="Cambria Math" panose="02040503050406030204" pitchFamily="18" charset="0"/>
                </a:rPr>
                <a:t> ̅</a:t>
              </a:r>
              <a:r>
                <a:rPr lang="en-US" sz="1100" b="1" i="0">
                  <a:latin typeface="Cambria Math" panose="02040503050406030204" pitchFamily="18" charset="0"/>
                </a:rPr>
                <a:t>=</a:t>
              </a:r>
              <a:endParaRPr lang="ru-RU" sz="1100" b="1" i="0"/>
            </a:p>
          </xdr:txBody>
        </xdr:sp>
      </mc:Fallback>
    </mc:AlternateContent>
    <xdr:clientData/>
  </xdr:oneCellAnchor>
  <xdr:oneCellAnchor>
    <xdr:from>
      <xdr:col>1</xdr:col>
      <xdr:colOff>11906</xdr:colOff>
      <xdr:row>55</xdr:row>
      <xdr:rowOff>83343</xdr:rowOff>
    </xdr:from>
    <xdr:ext cx="452881" cy="3427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76EEC10-1943-FB6C-53AA-3EE8CABCFCA3}"/>
                </a:ext>
              </a:extLst>
            </xdr:cNvPr>
            <xdr:cNvSpPr txBox="1"/>
          </xdr:nvSpPr>
          <xdr:spPr>
            <a:xfrm>
              <a:off x="597694" y="10327481"/>
              <a:ext cx="452881" cy="342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e>
                      <m:sub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0">
                        <a:latin typeface="Cambria Math" panose="02040503050406030204" pitchFamily="18" charset="0"/>
                      </a:rPr>
                      <m:t> ∗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X</m:t>
                            </m:r>
                          </m:e>
                        </m:acc>
                      </m:num>
                      <m:den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Y</m:t>
                            </m:r>
                          </m:e>
                        </m:acc>
                      </m:den>
                    </m:f>
                  </m:oMath>
                </m:oMathPara>
              </a14:m>
              <a:endParaRPr lang="ru-RU" sz="1100" i="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76EEC10-1943-FB6C-53AA-3EE8CABCFCA3}"/>
                </a:ext>
              </a:extLst>
            </xdr:cNvPr>
            <xdr:cNvSpPr txBox="1"/>
          </xdr:nvSpPr>
          <xdr:spPr>
            <a:xfrm>
              <a:off x="597694" y="10327481"/>
              <a:ext cx="452881" cy="342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b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1  ∗  X ̅/Y ̅ </a:t>
              </a:r>
              <a:endParaRPr lang="ru-RU" sz="1100" i="0"/>
            </a:p>
          </xdr:txBody>
        </xdr:sp>
      </mc:Fallback>
    </mc:AlternateContent>
    <xdr:clientData/>
  </xdr:oneCellAnchor>
  <xdr:oneCellAnchor>
    <xdr:from>
      <xdr:col>1</xdr:col>
      <xdr:colOff>250030</xdr:colOff>
      <xdr:row>64</xdr:row>
      <xdr:rowOff>77460</xdr:rowOff>
    </xdr:from>
    <xdr:ext cx="584199" cy="3892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01A204E-0409-4880-7290-02113579FFAA}"/>
                </a:ext>
              </a:extLst>
            </xdr:cNvPr>
            <xdr:cNvSpPr txBox="1"/>
          </xdr:nvSpPr>
          <xdr:spPr>
            <a:xfrm>
              <a:off x="835818" y="11950373"/>
              <a:ext cx="584199" cy="3892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f>
                      <m:f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XY</m:t>
                            </m:r>
                          </m:e>
                        </m:acc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− </m:t>
                        </m:r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X</m:t>
                            </m:r>
                          </m:e>
                        </m:acc>
                        <m:acc>
                          <m:accPr>
                            <m:chr m:val="̅"/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Y</m:t>
                            </m:r>
                          </m:e>
                        </m:acc>
                      </m:num>
                      <m:den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l-GR" sz="110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x</m:t>
                            </m:r>
                          </m:sub>
                        </m:sSub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l-GR" sz="110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y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ru-RU" sz="1100" i="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01A204E-0409-4880-7290-02113579FFAA}"/>
                </a:ext>
              </a:extLst>
            </xdr:cNvPr>
            <xdr:cNvSpPr txBox="1"/>
          </xdr:nvSpPr>
          <xdr:spPr>
            <a:xfrm>
              <a:off x="835818" y="11950373"/>
              <a:ext cx="584199" cy="3892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((</a:t>
              </a:r>
              <a:r>
                <a:rPr lang="en-US" sz="1100" b="0" i="0">
                  <a:latin typeface="Cambria Math" panose="02040503050406030204" pitchFamily="18" charset="0"/>
                </a:rPr>
                <a:t>XY</a:t>
              </a:r>
              <a:r>
                <a:rPr lang="ru-RU" sz="1100" b="0" i="0">
                  <a:latin typeface="Cambria Math" panose="02040503050406030204" pitchFamily="18" charset="0"/>
                </a:rPr>
                <a:t>) ̅</a:t>
              </a:r>
              <a:r>
                <a:rPr lang="en-US" sz="1100" b="0" i="0">
                  <a:latin typeface="Cambria Math" panose="02040503050406030204" pitchFamily="18" charset="0"/>
                </a:rPr>
                <a:t>  − X ̅Y</a:t>
              </a:r>
              <a:r>
                <a:rPr lang="ru-RU" sz="1100" b="0" i="0">
                  <a:latin typeface="Cambria Math" panose="02040503050406030204" pitchFamily="18" charset="0"/>
                </a:rPr>
                <a:t> ̅)/(</a:t>
              </a:r>
              <a:r>
                <a:rPr lang="el-GR" sz="1100" i="0">
                  <a:latin typeface="Cambria Math" panose="02040503050406030204" pitchFamily="18" charset="0"/>
                </a:rPr>
                <a:t>σ</a:t>
              </a:r>
              <a:r>
                <a:rPr lang="ru-RU" sz="110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x</a:t>
              </a:r>
              <a:r>
                <a:rPr lang="ru-RU" sz="1100" b="0" i="0">
                  <a:latin typeface="Cambria Math" panose="02040503050406030204" pitchFamily="18" charset="0"/>
                </a:rPr>
                <a:t> </a:t>
              </a:r>
              <a:r>
                <a:rPr lang="el-GR" sz="1100" i="0">
                  <a:latin typeface="Cambria Math" panose="02040503050406030204" pitchFamily="18" charset="0"/>
                </a:rPr>
                <a:t>σ</a:t>
              </a:r>
              <a:r>
                <a:rPr lang="ru-RU" sz="110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y</a:t>
              </a:r>
              <a:r>
                <a:rPr lang="ru-RU" sz="1100" b="0" i="0">
                  <a:latin typeface="Cambria Math" panose="02040503050406030204" pitchFamily="18" charset="0"/>
                </a:rPr>
                <a:t> )</a:t>
              </a:r>
              <a:endParaRPr lang="ru-RU" sz="1100" i="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73583</xdr:colOff>
      <xdr:row>0</xdr:row>
      <xdr:rowOff>2476</xdr:rowOff>
    </xdr:from>
    <xdr:ext cx="483016" cy="1664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BABFE4E-8BEA-8CF4-79EF-93156933ACAB}"/>
                </a:ext>
              </a:extLst>
            </xdr:cNvPr>
            <xdr:cNvSpPr txBox="1"/>
          </xdr:nvSpPr>
          <xdr:spPr>
            <a:xfrm>
              <a:off x="73583" y="2476"/>
              <a:ext cx="483016" cy="1664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0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n-US" sz="1000" b="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1000" b="0" i="0">
                        <a:latin typeface="Cambria Math" panose="02040503050406030204" pitchFamily="18" charset="0"/>
                      </a:rPr>
                      <m:t>a</m:t>
                    </m:r>
                    <m:sSup>
                      <m:sSupPr>
                        <m:ctrlPr>
                          <a:rPr lang="en-US" sz="10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000" b="0" i="0">
                            <a:latin typeface="Cambria Math" panose="02040503050406030204" pitchFamily="18" charset="0"/>
                          </a:rPr>
                          <m:t>e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000" b="0" i="0">
                            <a:latin typeface="Cambria Math" panose="02040503050406030204" pitchFamily="18" charset="0"/>
                          </a:rPr>
                          <m:t>bt</m:t>
                        </m:r>
                      </m:sup>
                    </m:sSup>
                  </m:oMath>
                </m:oMathPara>
              </a14:m>
              <a:endParaRPr lang="ru-RU" sz="1000" i="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BABFE4E-8BEA-8CF4-79EF-93156933ACAB}"/>
                </a:ext>
              </a:extLst>
            </xdr:cNvPr>
            <xdr:cNvSpPr txBox="1"/>
          </xdr:nvSpPr>
          <xdr:spPr>
            <a:xfrm>
              <a:off x="73583" y="2476"/>
              <a:ext cx="483016" cy="1664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000" b="0" i="0">
                  <a:latin typeface="Cambria Math" panose="02040503050406030204" pitchFamily="18" charset="0"/>
                </a:rPr>
                <a:t>x=ae^bt</a:t>
              </a:r>
              <a:endParaRPr lang="ru-RU" sz="1000" i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6"/>
  <sheetViews>
    <sheetView tabSelected="1" topLeftCell="A58" workbookViewId="0">
      <selection activeCell="H106" sqref="H106"/>
    </sheetView>
  </sheetViews>
  <sheetFormatPr defaultColWidth="7.59765625" defaultRowHeight="14.25" x14ac:dyDescent="0.45"/>
  <cols>
    <col min="1" max="1" width="8.19921875" style="1" customWidth="1"/>
    <col min="2" max="7" width="7.59765625" style="1"/>
    <col min="8" max="8" width="8.59765625" style="1" customWidth="1"/>
    <col min="9" max="16384" width="7.59765625" style="1"/>
  </cols>
  <sheetData>
    <row r="1" spans="1:11" ht="15" thickTop="1" thickBot="1" x14ac:dyDescent="0.5">
      <c r="A1" s="14" t="s">
        <v>27</v>
      </c>
      <c r="B1" s="15"/>
      <c r="C1" s="15"/>
      <c r="D1" s="15"/>
    </row>
    <row r="2" spans="1:11" s="8" customFormat="1" ht="14.65" thickTop="1" x14ac:dyDescent="0.45">
      <c r="A2" s="17" t="s">
        <v>64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x14ac:dyDescent="0.45">
      <c r="A3" s="12" t="s">
        <v>61</v>
      </c>
      <c r="B3" s="12" t="s">
        <v>62</v>
      </c>
      <c r="D3" s="12" t="s">
        <v>3</v>
      </c>
      <c r="E3" s="12" t="s">
        <v>4</v>
      </c>
      <c r="G3" s="12" t="s">
        <v>2</v>
      </c>
      <c r="I3" s="12" t="s">
        <v>7</v>
      </c>
    </row>
    <row r="4" spans="1:11" x14ac:dyDescent="0.45">
      <c r="A4" s="1">
        <v>13.8</v>
      </c>
      <c r="B4" s="1">
        <v>33</v>
      </c>
      <c r="D4" s="1">
        <f>MAX(B4:B18)</f>
        <v>112</v>
      </c>
      <c r="E4" s="1">
        <f>MIN(B4:B18)</f>
        <v>33</v>
      </c>
      <c r="G4" s="1">
        <f>(D4-E4)/5</f>
        <v>15.8</v>
      </c>
      <c r="I4" s="1">
        <f>E4+$G$5</f>
        <v>49</v>
      </c>
    </row>
    <row r="5" spans="1:11" x14ac:dyDescent="0.45">
      <c r="A5" s="1">
        <v>13.8</v>
      </c>
      <c r="B5" s="1">
        <v>40</v>
      </c>
      <c r="G5" s="1">
        <v>16</v>
      </c>
      <c r="I5" s="1">
        <f>I4+$G$5</f>
        <v>65</v>
      </c>
    </row>
    <row r="6" spans="1:11" x14ac:dyDescent="0.45">
      <c r="A6" s="1">
        <v>14</v>
      </c>
      <c r="B6" s="1">
        <v>36</v>
      </c>
      <c r="I6" s="1">
        <f t="shared" ref="I6:I8" si="0">I5+$G$5</f>
        <v>81</v>
      </c>
    </row>
    <row r="7" spans="1:11" x14ac:dyDescent="0.45">
      <c r="A7" s="1">
        <v>22.5</v>
      </c>
      <c r="B7" s="1">
        <v>60</v>
      </c>
      <c r="I7" s="1">
        <f t="shared" si="0"/>
        <v>97</v>
      </c>
    </row>
    <row r="8" spans="1:11" x14ac:dyDescent="0.45">
      <c r="A8" s="1">
        <v>24</v>
      </c>
      <c r="B8" s="1">
        <v>55</v>
      </c>
      <c r="I8" s="1">
        <f t="shared" si="0"/>
        <v>113</v>
      </c>
    </row>
    <row r="9" spans="1:11" x14ac:dyDescent="0.45">
      <c r="A9" s="1">
        <v>28</v>
      </c>
      <c r="B9" s="1">
        <v>80</v>
      </c>
    </row>
    <row r="10" spans="1:11" x14ac:dyDescent="0.45">
      <c r="A10" s="1">
        <v>32</v>
      </c>
      <c r="B10" s="1">
        <v>95</v>
      </c>
      <c r="D10" s="12" t="s">
        <v>5</v>
      </c>
      <c r="E10" s="12" t="s">
        <v>6</v>
      </c>
      <c r="G10" s="12" t="s">
        <v>2</v>
      </c>
      <c r="I10" s="12" t="s">
        <v>7</v>
      </c>
    </row>
    <row r="11" spans="1:11" x14ac:dyDescent="0.45">
      <c r="A11" s="1">
        <v>20.9</v>
      </c>
      <c r="B11" s="1">
        <v>70</v>
      </c>
      <c r="D11" s="1">
        <f>MAX(A4:A18)</f>
        <v>37.9</v>
      </c>
      <c r="E11" s="1">
        <f>MIN(A4:A18)</f>
        <v>13.8</v>
      </c>
      <c r="G11" s="1">
        <f>(D11-E11)/5</f>
        <v>4.8199999999999994</v>
      </c>
      <c r="I11" s="1">
        <v>13</v>
      </c>
    </row>
    <row r="12" spans="1:11" x14ac:dyDescent="0.45">
      <c r="A12" s="1">
        <v>22</v>
      </c>
      <c r="B12" s="1">
        <v>48</v>
      </c>
      <c r="G12" s="1">
        <v>5</v>
      </c>
      <c r="I12" s="1">
        <f>E11+$G$12-0.8</f>
        <v>18</v>
      </c>
    </row>
    <row r="13" spans="1:11" x14ac:dyDescent="0.45">
      <c r="A13" s="1">
        <v>21.5</v>
      </c>
      <c r="B13" s="1">
        <v>53</v>
      </c>
      <c r="I13" s="1">
        <f>I12+$G$12</f>
        <v>23</v>
      </c>
    </row>
    <row r="14" spans="1:11" x14ac:dyDescent="0.45">
      <c r="A14" s="1">
        <v>32</v>
      </c>
      <c r="B14" s="1">
        <v>95</v>
      </c>
      <c r="I14" s="1">
        <f>I13+$G$12</f>
        <v>28</v>
      </c>
    </row>
    <row r="15" spans="1:11" x14ac:dyDescent="0.45">
      <c r="A15" s="1">
        <v>35</v>
      </c>
      <c r="B15" s="1">
        <v>75</v>
      </c>
      <c r="I15" s="1">
        <f>I14+$G$12</f>
        <v>33</v>
      </c>
    </row>
    <row r="16" spans="1:11" x14ac:dyDescent="0.45">
      <c r="A16" s="1">
        <v>24</v>
      </c>
      <c r="B16" s="1">
        <v>63</v>
      </c>
      <c r="I16" s="1">
        <f>I15+$G$12</f>
        <v>38</v>
      </c>
    </row>
    <row r="17" spans="1:11" x14ac:dyDescent="0.45">
      <c r="A17" s="1">
        <v>37.9</v>
      </c>
      <c r="B17" s="1">
        <v>112</v>
      </c>
    </row>
    <row r="18" spans="1:11" x14ac:dyDescent="0.45">
      <c r="A18" s="1">
        <v>27.5</v>
      </c>
      <c r="B18" s="1">
        <v>70</v>
      </c>
    </row>
    <row r="19" spans="1:11" ht="14.65" thickBot="1" x14ac:dyDescent="0.5"/>
    <row r="20" spans="1:11" ht="15" thickTop="1" thickBot="1" x14ac:dyDescent="0.5">
      <c r="A20" s="14" t="s">
        <v>26</v>
      </c>
      <c r="B20" s="15"/>
      <c r="C20" s="15"/>
      <c r="D20" s="15"/>
    </row>
    <row r="21" spans="1:11" ht="14.65" thickTop="1" x14ac:dyDescent="0.45">
      <c r="A21" s="17" t="s">
        <v>63</v>
      </c>
      <c r="B21" s="17"/>
      <c r="C21" s="17"/>
      <c r="D21" s="17"/>
      <c r="E21" s="17"/>
      <c r="F21" s="10"/>
      <c r="G21" s="10"/>
      <c r="H21" s="10"/>
      <c r="I21" s="10"/>
    </row>
    <row r="22" spans="1:11" ht="30" customHeight="1" x14ac:dyDescent="0.45">
      <c r="A22" s="12" t="s">
        <v>8</v>
      </c>
      <c r="B22" s="12" t="s">
        <v>1</v>
      </c>
      <c r="C22" s="12" t="s">
        <v>0</v>
      </c>
      <c r="D22" s="12" t="s">
        <v>77</v>
      </c>
      <c r="E22" s="12" t="s">
        <v>52</v>
      </c>
      <c r="F22" s="12" t="s">
        <v>9</v>
      </c>
      <c r="G22" s="12" t="s">
        <v>10</v>
      </c>
      <c r="H22" s="12" t="s">
        <v>11</v>
      </c>
      <c r="I22" s="12" t="s">
        <v>78</v>
      </c>
      <c r="J22" s="16"/>
      <c r="K22" s="16"/>
    </row>
    <row r="23" spans="1:11" x14ac:dyDescent="0.45">
      <c r="A23" s="1">
        <v>1</v>
      </c>
      <c r="B23" s="1">
        <v>33</v>
      </c>
      <c r="C23" s="1">
        <v>13.8</v>
      </c>
      <c r="D23" s="1">
        <f t="shared" ref="D23:D37" si="1">B23^2</f>
        <v>1089</v>
      </c>
      <c r="E23" s="1">
        <f t="shared" ref="E23:E37" si="2">C23^2</f>
        <v>190.44000000000003</v>
      </c>
      <c r="F23" s="1">
        <f t="shared" ref="F23:F37" si="3">B23*C23</f>
        <v>455.40000000000003</v>
      </c>
      <c r="G23" s="1">
        <f t="shared" ref="G23:G37" si="4">$B$43+$B$44*B23</f>
        <v>14.73412060301507</v>
      </c>
      <c r="H23" s="1">
        <f t="shared" ref="H23:H37" si="5">C23-G23</f>
        <v>-0.93412060301506905</v>
      </c>
      <c r="I23" s="1">
        <f t="shared" ref="I23:I37" si="6">H23^2</f>
        <v>0.87258130097723619</v>
      </c>
      <c r="J23" s="13">
        <f t="shared" ref="J23:J37" si="7">ABS(H23/C23)</f>
        <v>6.7689898769207904E-2</v>
      </c>
      <c r="K23" s="13"/>
    </row>
    <row r="24" spans="1:11" x14ac:dyDescent="0.45">
      <c r="A24" s="1">
        <v>2</v>
      </c>
      <c r="B24" s="1">
        <v>40</v>
      </c>
      <c r="C24" s="1">
        <v>13.8</v>
      </c>
      <c r="D24" s="1">
        <f t="shared" si="1"/>
        <v>1600</v>
      </c>
      <c r="E24" s="1">
        <f t="shared" si="2"/>
        <v>190.44000000000003</v>
      </c>
      <c r="F24" s="1">
        <f t="shared" si="3"/>
        <v>552</v>
      </c>
      <c r="G24" s="1">
        <f t="shared" si="4"/>
        <v>16.846809045226124</v>
      </c>
      <c r="H24" s="1">
        <f t="shared" si="5"/>
        <v>-3.0468090452261229</v>
      </c>
      <c r="I24" s="1">
        <f t="shared" si="6"/>
        <v>9.2830453580717194</v>
      </c>
      <c r="J24" s="13">
        <f t="shared" si="7"/>
        <v>0.22078326414682048</v>
      </c>
      <c r="K24" s="13"/>
    </row>
    <row r="25" spans="1:11" x14ac:dyDescent="0.45">
      <c r="A25" s="1">
        <v>3</v>
      </c>
      <c r="B25" s="1">
        <v>36</v>
      </c>
      <c r="C25" s="1">
        <v>14</v>
      </c>
      <c r="D25" s="1">
        <f t="shared" si="1"/>
        <v>1296</v>
      </c>
      <c r="E25" s="1">
        <f t="shared" si="2"/>
        <v>196</v>
      </c>
      <c r="F25" s="1">
        <f t="shared" si="3"/>
        <v>504</v>
      </c>
      <c r="G25" s="1">
        <f t="shared" si="4"/>
        <v>15.639558506819807</v>
      </c>
      <c r="H25" s="1">
        <f t="shared" si="5"/>
        <v>-1.6395585068198066</v>
      </c>
      <c r="I25" s="1">
        <f t="shared" si="6"/>
        <v>2.6881520972851938</v>
      </c>
      <c r="J25" s="13">
        <f t="shared" si="7"/>
        <v>0.11711132191570048</v>
      </c>
      <c r="K25" s="13"/>
    </row>
    <row r="26" spans="1:11" x14ac:dyDescent="0.45">
      <c r="A26" s="1">
        <v>4</v>
      </c>
      <c r="B26" s="1">
        <v>60</v>
      </c>
      <c r="C26" s="1">
        <v>22.5</v>
      </c>
      <c r="D26" s="1">
        <f t="shared" si="1"/>
        <v>3600</v>
      </c>
      <c r="E26" s="1">
        <f t="shared" si="2"/>
        <v>506.25</v>
      </c>
      <c r="F26" s="1">
        <f t="shared" si="3"/>
        <v>1350</v>
      </c>
      <c r="G26" s="1">
        <f t="shared" si="4"/>
        <v>22.883061737257712</v>
      </c>
      <c r="H26" s="1">
        <f t="shared" si="5"/>
        <v>-0.38306173725771231</v>
      </c>
      <c r="I26" s="1">
        <f t="shared" si="6"/>
        <v>0.14673629455089662</v>
      </c>
      <c r="J26" s="13">
        <f t="shared" si="7"/>
        <v>1.7024966100342768E-2</v>
      </c>
      <c r="K26" s="13"/>
    </row>
    <row r="27" spans="1:11" x14ac:dyDescent="0.45">
      <c r="A27" s="1">
        <v>5</v>
      </c>
      <c r="B27" s="1">
        <v>55</v>
      </c>
      <c r="C27" s="1">
        <v>24</v>
      </c>
      <c r="D27" s="1">
        <f t="shared" si="1"/>
        <v>3025</v>
      </c>
      <c r="E27" s="1">
        <f t="shared" si="2"/>
        <v>576</v>
      </c>
      <c r="F27" s="1">
        <f t="shared" si="3"/>
        <v>1320</v>
      </c>
      <c r="G27" s="1">
        <f t="shared" si="4"/>
        <v>21.373998564249813</v>
      </c>
      <c r="H27" s="1">
        <f t="shared" si="5"/>
        <v>2.6260014357501866</v>
      </c>
      <c r="I27" s="1">
        <f t="shared" si="6"/>
        <v>6.8958835405620418</v>
      </c>
      <c r="J27" s="13">
        <f t="shared" si="7"/>
        <v>0.10941672648959111</v>
      </c>
      <c r="K27" s="13"/>
    </row>
    <row r="28" spans="1:11" x14ac:dyDescent="0.45">
      <c r="A28" s="1">
        <v>6</v>
      </c>
      <c r="B28" s="1">
        <v>80</v>
      </c>
      <c r="C28" s="1">
        <v>28</v>
      </c>
      <c r="D28" s="1">
        <f t="shared" si="1"/>
        <v>6400</v>
      </c>
      <c r="E28" s="1">
        <f t="shared" si="2"/>
        <v>784</v>
      </c>
      <c r="F28" s="1">
        <f t="shared" si="3"/>
        <v>2240</v>
      </c>
      <c r="G28" s="1">
        <f t="shared" si="4"/>
        <v>28.919314429289297</v>
      </c>
      <c r="H28" s="1">
        <f t="shared" si="5"/>
        <v>-0.91931442928929741</v>
      </c>
      <c r="I28" s="1">
        <f t="shared" si="6"/>
        <v>0.84513901989950657</v>
      </c>
      <c r="J28" s="13">
        <f t="shared" si="7"/>
        <v>3.2832658188903477E-2</v>
      </c>
      <c r="K28" s="13"/>
    </row>
    <row r="29" spans="1:11" x14ac:dyDescent="0.45">
      <c r="A29" s="1">
        <v>7</v>
      </c>
      <c r="B29" s="1">
        <v>95</v>
      </c>
      <c r="C29" s="1">
        <v>32</v>
      </c>
      <c r="D29" s="1">
        <f t="shared" si="1"/>
        <v>9025</v>
      </c>
      <c r="E29" s="1">
        <f t="shared" si="2"/>
        <v>1024</v>
      </c>
      <c r="F29" s="1">
        <f t="shared" si="3"/>
        <v>3040</v>
      </c>
      <c r="G29" s="1">
        <f t="shared" si="4"/>
        <v>33.446503948312994</v>
      </c>
      <c r="H29" s="1">
        <f t="shared" si="5"/>
        <v>-1.4465039483129942</v>
      </c>
      <c r="I29" s="1">
        <f t="shared" si="6"/>
        <v>2.0923736724850817</v>
      </c>
      <c r="J29" s="13">
        <f t="shared" si="7"/>
        <v>4.520324838478107E-2</v>
      </c>
      <c r="K29" s="13"/>
    </row>
    <row r="30" spans="1:11" x14ac:dyDescent="0.45">
      <c r="A30" s="1">
        <v>8</v>
      </c>
      <c r="B30" s="1">
        <v>70</v>
      </c>
      <c r="C30" s="1">
        <v>20.9</v>
      </c>
      <c r="D30" s="1">
        <f t="shared" si="1"/>
        <v>4900</v>
      </c>
      <c r="E30" s="1">
        <f t="shared" si="2"/>
        <v>436.80999999999995</v>
      </c>
      <c r="F30" s="1">
        <f t="shared" si="3"/>
        <v>1463</v>
      </c>
      <c r="G30" s="1">
        <f t="shared" si="4"/>
        <v>25.901188083273507</v>
      </c>
      <c r="H30" s="1">
        <f t="shared" si="5"/>
        <v>-5.0011880832735081</v>
      </c>
      <c r="I30" s="1">
        <f t="shared" si="6"/>
        <v>25.011882244276947</v>
      </c>
      <c r="J30" s="13">
        <f t="shared" si="7"/>
        <v>0.23929129585040709</v>
      </c>
      <c r="K30" s="13"/>
    </row>
    <row r="31" spans="1:11" x14ac:dyDescent="0.45">
      <c r="A31" s="1">
        <v>9</v>
      </c>
      <c r="B31" s="1">
        <v>48</v>
      </c>
      <c r="C31" s="1">
        <v>22</v>
      </c>
      <c r="D31" s="1">
        <f t="shared" si="1"/>
        <v>2304</v>
      </c>
      <c r="E31" s="1">
        <f t="shared" si="2"/>
        <v>484</v>
      </c>
      <c r="F31" s="1">
        <f t="shared" si="3"/>
        <v>1056</v>
      </c>
      <c r="G31" s="1">
        <f t="shared" si="4"/>
        <v>19.261310122038758</v>
      </c>
      <c r="H31" s="1">
        <f t="shared" si="5"/>
        <v>2.7386898779612423</v>
      </c>
      <c r="I31" s="1">
        <f t="shared" si="6"/>
        <v>7.5004222476473643</v>
      </c>
      <c r="J31" s="13">
        <f t="shared" si="7"/>
        <v>0.12448590354369284</v>
      </c>
      <c r="K31" s="13"/>
    </row>
    <row r="32" spans="1:11" x14ac:dyDescent="0.45">
      <c r="A32" s="1">
        <v>10</v>
      </c>
      <c r="B32" s="1">
        <v>53</v>
      </c>
      <c r="C32" s="1">
        <v>21.5</v>
      </c>
      <c r="D32" s="1">
        <f t="shared" si="1"/>
        <v>2809</v>
      </c>
      <c r="E32" s="1">
        <f t="shared" si="2"/>
        <v>462.25</v>
      </c>
      <c r="F32" s="1">
        <f t="shared" si="3"/>
        <v>1139.5</v>
      </c>
      <c r="G32" s="1">
        <f t="shared" si="4"/>
        <v>20.770373295046657</v>
      </c>
      <c r="H32" s="1">
        <f t="shared" si="5"/>
        <v>0.72962670495334336</v>
      </c>
      <c r="I32" s="1">
        <f t="shared" si="6"/>
        <v>0.53235512858107314</v>
      </c>
      <c r="J32" s="13">
        <f t="shared" si="7"/>
        <v>3.3936125811783409E-2</v>
      </c>
      <c r="K32" s="13"/>
    </row>
    <row r="33" spans="1:11" x14ac:dyDescent="0.45">
      <c r="A33" s="1">
        <v>11</v>
      </c>
      <c r="B33" s="1">
        <v>95</v>
      </c>
      <c r="C33" s="1">
        <v>32</v>
      </c>
      <c r="D33" s="1">
        <f t="shared" si="1"/>
        <v>9025</v>
      </c>
      <c r="E33" s="1">
        <f t="shared" si="2"/>
        <v>1024</v>
      </c>
      <c r="F33" s="1">
        <f t="shared" si="3"/>
        <v>3040</v>
      </c>
      <c r="G33" s="1">
        <f t="shared" si="4"/>
        <v>33.446503948312994</v>
      </c>
      <c r="H33" s="1">
        <f t="shared" si="5"/>
        <v>-1.4465039483129942</v>
      </c>
      <c r="I33" s="1">
        <f t="shared" si="6"/>
        <v>2.0923736724850817</v>
      </c>
      <c r="J33" s="13">
        <f t="shared" si="7"/>
        <v>4.520324838478107E-2</v>
      </c>
      <c r="K33" s="13"/>
    </row>
    <row r="34" spans="1:11" x14ac:dyDescent="0.45">
      <c r="A34" s="1">
        <v>12</v>
      </c>
      <c r="B34" s="1">
        <v>75</v>
      </c>
      <c r="C34" s="1">
        <v>35</v>
      </c>
      <c r="D34" s="1">
        <f t="shared" si="1"/>
        <v>5625</v>
      </c>
      <c r="E34" s="1">
        <f t="shared" si="2"/>
        <v>1225</v>
      </c>
      <c r="F34" s="1">
        <f t="shared" si="3"/>
        <v>2625</v>
      </c>
      <c r="G34" s="1">
        <f t="shared" si="4"/>
        <v>27.410251256281402</v>
      </c>
      <c r="H34" s="1">
        <f t="shared" si="5"/>
        <v>7.589748743718598</v>
      </c>
      <c r="I34" s="1">
        <f t="shared" si="6"/>
        <v>57.604285992778038</v>
      </c>
      <c r="J34" s="13">
        <f t="shared" si="7"/>
        <v>0.21684996410624566</v>
      </c>
      <c r="K34" s="13"/>
    </row>
    <row r="35" spans="1:11" x14ac:dyDescent="0.45">
      <c r="A35" s="1">
        <v>13</v>
      </c>
      <c r="B35" s="1">
        <v>63</v>
      </c>
      <c r="C35" s="1">
        <v>24</v>
      </c>
      <c r="D35" s="1">
        <f t="shared" si="1"/>
        <v>3969</v>
      </c>
      <c r="E35" s="1">
        <f t="shared" si="2"/>
        <v>576</v>
      </c>
      <c r="F35" s="1">
        <f t="shared" si="3"/>
        <v>1512</v>
      </c>
      <c r="G35" s="1">
        <f t="shared" si="4"/>
        <v>23.788499641062451</v>
      </c>
      <c r="H35" s="1">
        <f t="shared" si="5"/>
        <v>0.21150035893754904</v>
      </c>
      <c r="I35" s="1">
        <f t="shared" si="6"/>
        <v>4.473240183071208E-2</v>
      </c>
      <c r="J35" s="13">
        <f t="shared" si="7"/>
        <v>8.8125149557312099E-3</v>
      </c>
      <c r="K35" s="13"/>
    </row>
    <row r="36" spans="1:11" x14ac:dyDescent="0.45">
      <c r="A36" s="1">
        <v>14</v>
      </c>
      <c r="B36" s="1">
        <v>112</v>
      </c>
      <c r="C36" s="1">
        <v>37.9</v>
      </c>
      <c r="D36" s="1">
        <f t="shared" si="1"/>
        <v>12544</v>
      </c>
      <c r="E36" s="1">
        <f t="shared" si="2"/>
        <v>1436.4099999999999</v>
      </c>
      <c r="F36" s="1">
        <f t="shared" si="3"/>
        <v>4244.8</v>
      </c>
      <c r="G36" s="1">
        <f t="shared" si="4"/>
        <v>38.577318736539837</v>
      </c>
      <c r="H36" s="1">
        <f t="shared" si="5"/>
        <v>-0.67731873653983854</v>
      </c>
      <c r="I36" s="1">
        <f t="shared" si="6"/>
        <v>0.45876067086792321</v>
      </c>
      <c r="J36" s="13">
        <f t="shared" si="7"/>
        <v>1.7871206768861177E-2</v>
      </c>
      <c r="K36" s="13"/>
    </row>
    <row r="37" spans="1:11" x14ac:dyDescent="0.45">
      <c r="A37" s="1">
        <v>15</v>
      </c>
      <c r="B37" s="1">
        <v>70</v>
      </c>
      <c r="C37" s="1">
        <v>27.5</v>
      </c>
      <c r="D37" s="1">
        <f t="shared" si="1"/>
        <v>4900</v>
      </c>
      <c r="E37" s="1">
        <f t="shared" si="2"/>
        <v>756.25</v>
      </c>
      <c r="F37" s="1">
        <f t="shared" si="3"/>
        <v>1925</v>
      </c>
      <c r="G37" s="1">
        <f t="shared" si="4"/>
        <v>25.901188083273507</v>
      </c>
      <c r="H37" s="1">
        <f t="shared" si="5"/>
        <v>1.5988119167264934</v>
      </c>
      <c r="I37" s="1">
        <f t="shared" si="6"/>
        <v>2.5561995450666437</v>
      </c>
      <c r="J37" s="13">
        <f t="shared" si="7"/>
        <v>5.8138615153690669E-2</v>
      </c>
      <c r="K37" s="13"/>
    </row>
    <row r="40" spans="1:11" x14ac:dyDescent="0.45">
      <c r="A40" s="12" t="s">
        <v>12</v>
      </c>
      <c r="B40" s="1">
        <f t="shared" ref="B40:J40" si="8">SUM(B23:B37)</f>
        <v>985</v>
      </c>
      <c r="C40" s="1">
        <f t="shared" si="8"/>
        <v>368.9</v>
      </c>
      <c r="D40" s="1">
        <f t="shared" si="8"/>
        <v>72111</v>
      </c>
      <c r="E40" s="1">
        <f t="shared" si="8"/>
        <v>9867.85</v>
      </c>
      <c r="F40" s="1">
        <f t="shared" si="8"/>
        <v>26466.7</v>
      </c>
      <c r="G40" s="1">
        <f t="shared" si="8"/>
        <v>368.89999999999992</v>
      </c>
      <c r="H40" s="1">
        <f t="shared" si="8"/>
        <v>6.9277916736609768E-14</v>
      </c>
      <c r="I40" s="1">
        <f t="shared" si="8"/>
        <v>118.62492318736545</v>
      </c>
      <c r="J40" s="1">
        <f t="shared" si="8"/>
        <v>1.3546509585705402</v>
      </c>
    </row>
    <row r="41" spans="1:11" x14ac:dyDescent="0.45">
      <c r="A41" s="12" t="s">
        <v>60</v>
      </c>
      <c r="B41" s="1">
        <f t="shared" ref="B41:I41" si="9">AVERAGE(B23:B37)</f>
        <v>65.666666666666671</v>
      </c>
      <c r="C41" s="1">
        <f t="shared" si="9"/>
        <v>24.59333333333333</v>
      </c>
      <c r="D41" s="1">
        <f t="shared" si="9"/>
        <v>4807.3999999999996</v>
      </c>
      <c r="E41" s="1">
        <f t="shared" si="9"/>
        <v>657.85666666666668</v>
      </c>
      <c r="F41" s="1">
        <f t="shared" si="9"/>
        <v>1764.4466666666667</v>
      </c>
      <c r="G41" s="1">
        <f t="shared" si="9"/>
        <v>24.593333333333327</v>
      </c>
      <c r="H41" s="1">
        <f t="shared" si="9"/>
        <v>4.6185277824406514E-15</v>
      </c>
      <c r="I41" s="1">
        <f t="shared" si="9"/>
        <v>7.9083282124910301</v>
      </c>
      <c r="J41" s="1">
        <f>AVERAGE(J23:K37)</f>
        <v>9.0310063904702684E-2</v>
      </c>
    </row>
    <row r="42" spans="1:11" x14ac:dyDescent="0.45">
      <c r="K42" s="5"/>
    </row>
    <row r="43" spans="1:11" x14ac:dyDescent="0.45">
      <c r="A43" s="12" t="s">
        <v>79</v>
      </c>
      <c r="B43" s="5">
        <f>INTERCEPT(C23:C37,B23:B37)</f>
        <v>4.7743036611629499</v>
      </c>
      <c r="F43" s="5"/>
    </row>
    <row r="44" spans="1:11" x14ac:dyDescent="0.45">
      <c r="A44" s="12" t="s">
        <v>80</v>
      </c>
      <c r="B44" s="1">
        <f>SLOPE(C23:C37,B23:B37)</f>
        <v>0.30181263460157937</v>
      </c>
    </row>
    <row r="45" spans="1:11" ht="14.65" thickBot="1" x14ac:dyDescent="0.5"/>
    <row r="46" spans="1:11" ht="15" thickTop="1" thickBot="1" x14ac:dyDescent="0.5">
      <c r="A46" s="14" t="s">
        <v>65</v>
      </c>
      <c r="B46" s="15"/>
      <c r="C46" s="15"/>
      <c r="D46" s="15"/>
    </row>
    <row r="47" spans="1:11" ht="14.65" thickTop="1" x14ac:dyDescent="0.45">
      <c r="A47" s="13" t="s">
        <v>66</v>
      </c>
      <c r="B47" s="13"/>
      <c r="C47" s="13"/>
      <c r="D47" s="13"/>
      <c r="E47" s="13"/>
      <c r="F47" s="13"/>
      <c r="G47" s="13"/>
      <c r="H47" s="13"/>
      <c r="I47" s="2"/>
    </row>
    <row r="49" spans="1:14" x14ac:dyDescent="0.45">
      <c r="A49" s="16"/>
      <c r="B49" s="13"/>
      <c r="C49" s="13"/>
      <c r="D49" s="13"/>
      <c r="E49" s="13"/>
      <c r="F49" s="2"/>
    </row>
    <row r="50" spans="1:14" x14ac:dyDescent="0.45">
      <c r="A50" s="16"/>
      <c r="B50" s="13"/>
      <c r="C50" s="13"/>
      <c r="D50" s="13"/>
      <c r="E50" s="13"/>
      <c r="F50" s="5" t="s">
        <v>68</v>
      </c>
      <c r="G50" s="10">
        <f>J41</f>
        <v>9.0310063904702684E-2</v>
      </c>
      <c r="H50" s="10" t="s">
        <v>67</v>
      </c>
      <c r="I50" s="4">
        <f>J41</f>
        <v>9.0310063904702684E-2</v>
      </c>
      <c r="J50" s="5" t="s">
        <v>56</v>
      </c>
      <c r="K50" s="13" t="s">
        <v>69</v>
      </c>
      <c r="L50" s="13"/>
      <c r="M50" s="13"/>
      <c r="N50" s="13"/>
    </row>
    <row r="51" spans="1:14" x14ac:dyDescent="0.45">
      <c r="A51" s="16"/>
      <c r="B51" s="13"/>
      <c r="C51" s="13"/>
      <c r="D51" s="13"/>
      <c r="E51" s="13"/>
      <c r="F51" s="2"/>
    </row>
    <row r="52" spans="1:14" ht="14.65" thickBot="1" x14ac:dyDescent="0.5"/>
    <row r="53" spans="1:14" ht="15" thickTop="1" thickBot="1" x14ac:dyDescent="0.5">
      <c r="A53" s="14" t="s">
        <v>70</v>
      </c>
      <c r="B53" s="15"/>
      <c r="C53" s="15"/>
      <c r="D53" s="15"/>
    </row>
    <row r="54" spans="1:14" ht="14.65" thickTop="1" x14ac:dyDescent="0.45">
      <c r="A54" s="13" t="s">
        <v>71</v>
      </c>
      <c r="B54" s="13"/>
      <c r="C54" s="13"/>
      <c r="D54" s="13"/>
      <c r="E54" s="13"/>
      <c r="F54" s="2"/>
      <c r="G54" s="2"/>
      <c r="H54" s="2"/>
      <c r="I54" s="2"/>
      <c r="J54" s="2"/>
      <c r="K54" s="2"/>
    </row>
    <row r="56" spans="1:14" x14ac:dyDescent="0.45">
      <c r="A56" s="16" t="s">
        <v>74</v>
      </c>
      <c r="B56" s="13"/>
      <c r="C56" s="2"/>
    </row>
    <row r="57" spans="1:14" x14ac:dyDescent="0.45">
      <c r="A57" s="16"/>
      <c r="B57" s="13"/>
      <c r="C57" s="5" t="s">
        <v>72</v>
      </c>
      <c r="D57" s="1">
        <f>B44*B41/C41</f>
        <v>0.80587000564531241</v>
      </c>
    </row>
    <row r="58" spans="1:14" x14ac:dyDescent="0.45">
      <c r="A58" s="16"/>
      <c r="B58" s="13"/>
      <c r="C58" s="2"/>
    </row>
    <row r="59" spans="1:14" ht="14.65" thickBot="1" x14ac:dyDescent="0.5"/>
    <row r="60" spans="1:14" ht="15" thickTop="1" thickBot="1" x14ac:dyDescent="0.5">
      <c r="A60" s="22" t="s">
        <v>13</v>
      </c>
      <c r="B60" s="15"/>
      <c r="C60" s="15"/>
      <c r="D60" s="15"/>
    </row>
    <row r="61" spans="1:14" ht="14.65" thickTop="1" x14ac:dyDescent="0.45">
      <c r="A61" s="11" t="s">
        <v>73</v>
      </c>
    </row>
    <row r="62" spans="1:14" x14ac:dyDescent="0.45">
      <c r="A62" s="12" t="s">
        <v>81</v>
      </c>
      <c r="B62" s="1">
        <f>SQRT(D41-B41^2)</f>
        <v>22.255086809286734</v>
      </c>
    </row>
    <row r="63" spans="1:14" x14ac:dyDescent="0.45">
      <c r="A63" s="12" t="s">
        <v>76</v>
      </c>
      <c r="B63" s="1">
        <f>SQRT(E41-C41^2)</f>
        <v>7.2818007540870298</v>
      </c>
    </row>
    <row r="64" spans="1:14" x14ac:dyDescent="0.45">
      <c r="A64" s="6"/>
    </row>
    <row r="65" spans="1:14" x14ac:dyDescent="0.45">
      <c r="A65" s="6"/>
      <c r="B65" s="13"/>
      <c r="C65" s="13"/>
    </row>
    <row r="66" spans="1:14" x14ac:dyDescent="0.45">
      <c r="A66" s="12" t="s">
        <v>75</v>
      </c>
      <c r="B66" s="13"/>
      <c r="C66" s="13"/>
      <c r="D66" s="5" t="s">
        <v>72</v>
      </c>
      <c r="E66" s="1">
        <f>(F41-B41*C41)/(B62*B63)</f>
        <v>0.92241831519871587</v>
      </c>
      <c r="F66" s="17" t="s">
        <v>14</v>
      </c>
      <c r="G66" s="17"/>
      <c r="H66" s="17"/>
      <c r="I66" s="17"/>
    </row>
    <row r="67" spans="1:14" x14ac:dyDescent="0.45">
      <c r="B67" s="13"/>
      <c r="C67" s="13"/>
    </row>
    <row r="69" spans="1:14" x14ac:dyDescent="0.45">
      <c r="A69" s="12" t="s">
        <v>82</v>
      </c>
      <c r="B69" s="1">
        <f>E66^2</f>
        <v>0.85085554821403753</v>
      </c>
      <c r="C69" s="3">
        <f>B69</f>
        <v>0.85085554821403753</v>
      </c>
      <c r="D69" s="17" t="s">
        <v>22</v>
      </c>
      <c r="E69" s="17"/>
      <c r="F69" s="17"/>
      <c r="G69" s="17"/>
    </row>
    <row r="70" spans="1:14" x14ac:dyDescent="0.45">
      <c r="C70" s="3"/>
      <c r="D70" s="5"/>
      <c r="E70" s="5"/>
      <c r="F70" s="5"/>
      <c r="G70" s="5"/>
    </row>
    <row r="71" spans="1:14" x14ac:dyDescent="0.45">
      <c r="A71" s="1" t="s">
        <v>23</v>
      </c>
      <c r="B71" s="13" t="s">
        <v>24</v>
      </c>
      <c r="C71" s="13"/>
      <c r="D71" s="13"/>
      <c r="E71" s="13"/>
      <c r="F71" s="13"/>
      <c r="G71" s="13"/>
      <c r="H71" s="13"/>
      <c r="I71" s="13"/>
    </row>
    <row r="72" spans="1:14" ht="14.65" thickBot="1" x14ac:dyDescent="0.5"/>
    <row r="73" spans="1:14" ht="15" thickTop="1" thickBot="1" x14ac:dyDescent="0.5">
      <c r="A73" s="14" t="s">
        <v>25</v>
      </c>
      <c r="B73" s="15"/>
      <c r="C73" s="15"/>
      <c r="D73" s="15"/>
    </row>
    <row r="74" spans="1:14" ht="14.65" thickTop="1" x14ac:dyDescent="0.45">
      <c r="A74" s="13" t="s">
        <v>34</v>
      </c>
      <c r="B74" s="13"/>
      <c r="C74" s="13"/>
      <c r="D74" s="13"/>
      <c r="E74" s="13"/>
      <c r="F74" s="13"/>
      <c r="G74" s="13"/>
      <c r="I74" s="13" t="s">
        <v>29</v>
      </c>
      <c r="J74" s="13"/>
      <c r="K74" s="13"/>
      <c r="L74" s="13"/>
      <c r="M74" s="13"/>
      <c r="N74" s="13"/>
    </row>
    <row r="75" spans="1:14" x14ac:dyDescent="0.45">
      <c r="A75" s="13" t="s">
        <v>15</v>
      </c>
      <c r="B75" s="13"/>
      <c r="C75" s="13"/>
      <c r="D75" s="13"/>
      <c r="E75" s="13"/>
      <c r="F75" s="13"/>
    </row>
    <row r="76" spans="1:14" x14ac:dyDescent="0.45">
      <c r="A76" s="16" t="s">
        <v>16</v>
      </c>
      <c r="B76" s="13"/>
      <c r="C76" s="13"/>
      <c r="D76" s="13">
        <f>ABS(E66)/SQRT((1-B69)/(A37-2))</f>
        <v>8.6118417889447514</v>
      </c>
      <c r="I76" s="16"/>
      <c r="J76" s="13"/>
      <c r="K76" s="13"/>
      <c r="L76" s="13"/>
      <c r="M76" s="13"/>
      <c r="N76" s="13">
        <f>SQRT(I40/((A37-2)*B62^2*A37))</f>
        <v>3.5046235404489527E-2</v>
      </c>
    </row>
    <row r="77" spans="1:14" x14ac:dyDescent="0.45">
      <c r="A77" s="16"/>
      <c r="B77" s="13"/>
      <c r="C77" s="13"/>
      <c r="D77" s="13"/>
      <c r="I77" s="16"/>
      <c r="J77" s="13"/>
      <c r="K77" s="13"/>
      <c r="L77" s="13"/>
      <c r="M77" s="13"/>
      <c r="N77" s="13"/>
    </row>
    <row r="78" spans="1:14" x14ac:dyDescent="0.45">
      <c r="A78" s="16"/>
      <c r="B78" s="13"/>
      <c r="C78" s="13"/>
      <c r="D78" s="13"/>
    </row>
    <row r="79" spans="1:14" x14ac:dyDescent="0.45">
      <c r="I79" s="16" t="s">
        <v>30</v>
      </c>
      <c r="J79" s="13"/>
      <c r="K79" s="13">
        <f>B44/N76</f>
        <v>8.6118417889447905</v>
      </c>
    </row>
    <row r="80" spans="1:14" x14ac:dyDescent="0.45">
      <c r="A80" s="13" t="s">
        <v>18</v>
      </c>
      <c r="B80" s="13"/>
      <c r="I80" s="16"/>
      <c r="J80" s="13"/>
      <c r="K80" s="13"/>
    </row>
    <row r="81" spans="1:16" x14ac:dyDescent="0.45">
      <c r="A81" s="12" t="s">
        <v>20</v>
      </c>
      <c r="B81" s="1">
        <v>0.05</v>
      </c>
    </row>
    <row r="82" spans="1:16" x14ac:dyDescent="0.45">
      <c r="A82" s="12" t="s">
        <v>37</v>
      </c>
      <c r="B82" s="1" t="s">
        <v>19</v>
      </c>
      <c r="C82" s="1">
        <f>A37-2</f>
        <v>13</v>
      </c>
      <c r="I82" s="13" t="s">
        <v>18</v>
      </c>
      <c r="J82" s="13"/>
    </row>
    <row r="83" spans="1:16" x14ac:dyDescent="0.45">
      <c r="I83" s="12" t="s">
        <v>20</v>
      </c>
      <c r="J83" s="1">
        <v>0.05</v>
      </c>
    </row>
    <row r="84" spans="1:16" x14ac:dyDescent="0.45">
      <c r="A84" s="12" t="s">
        <v>17</v>
      </c>
      <c r="B84" s="1">
        <v>2.16</v>
      </c>
      <c r="I84" s="12" t="s">
        <v>37</v>
      </c>
      <c r="J84" s="1" t="s">
        <v>19</v>
      </c>
      <c r="K84" s="1">
        <f>A37-2</f>
        <v>13</v>
      </c>
    </row>
    <row r="86" spans="1:16" x14ac:dyDescent="0.45">
      <c r="A86" s="13" t="s">
        <v>21</v>
      </c>
      <c r="B86" s="13"/>
      <c r="C86" s="13"/>
      <c r="D86" s="13"/>
      <c r="E86" s="13"/>
      <c r="F86" s="2"/>
      <c r="I86" s="12" t="s">
        <v>17</v>
      </c>
      <c r="J86" s="1">
        <v>2.16</v>
      </c>
    </row>
    <row r="87" spans="1:16" x14ac:dyDescent="0.45">
      <c r="A87" s="17" t="s">
        <v>28</v>
      </c>
      <c r="B87" s="13"/>
      <c r="C87" s="13"/>
      <c r="D87" s="13"/>
      <c r="E87" s="13"/>
    </row>
    <row r="88" spans="1:16" x14ac:dyDescent="0.45">
      <c r="I88" s="13" t="s">
        <v>31</v>
      </c>
      <c r="J88" s="13"/>
      <c r="K88" s="13"/>
      <c r="L88" s="13"/>
      <c r="M88" s="13"/>
      <c r="N88" s="13"/>
      <c r="O88" s="13"/>
      <c r="P88" s="13"/>
    </row>
    <row r="89" spans="1:16" x14ac:dyDescent="0.45">
      <c r="I89" s="17" t="s">
        <v>32</v>
      </c>
      <c r="J89" s="17"/>
      <c r="K89" s="17"/>
    </row>
    <row r="90" spans="1:16" ht="14.65" thickBot="1" x14ac:dyDescent="0.5"/>
    <row r="91" spans="1:16" ht="15" thickTop="1" thickBot="1" x14ac:dyDescent="0.5">
      <c r="A91" s="19" t="s">
        <v>33</v>
      </c>
      <c r="B91" s="20"/>
      <c r="C91" s="20"/>
      <c r="D91" s="21"/>
      <c r="I91" s="14" t="s">
        <v>42</v>
      </c>
      <c r="J91" s="15"/>
      <c r="K91" s="15"/>
      <c r="L91" s="15"/>
    </row>
    <row r="92" spans="1:16" ht="14.65" thickTop="1" x14ac:dyDescent="0.45">
      <c r="A92" s="18" t="s">
        <v>35</v>
      </c>
      <c r="B92" s="18"/>
      <c r="C92" s="18"/>
      <c r="D92" s="18"/>
      <c r="E92" s="18"/>
      <c r="F92" s="18"/>
      <c r="G92" s="7"/>
      <c r="H92" s="7"/>
      <c r="I92" s="18" t="s">
        <v>43</v>
      </c>
      <c r="J92" s="18"/>
      <c r="K92" s="18"/>
      <c r="L92" s="18"/>
      <c r="M92" s="18"/>
      <c r="N92" s="18"/>
      <c r="O92" s="18"/>
    </row>
    <row r="93" spans="1:16" x14ac:dyDescent="0.45">
      <c r="A93" s="18"/>
      <c r="B93" s="18"/>
      <c r="C93" s="18"/>
      <c r="D93" s="18"/>
      <c r="E93" s="18"/>
      <c r="F93" s="18"/>
      <c r="G93" s="7"/>
      <c r="H93" s="7"/>
      <c r="I93" s="18"/>
      <c r="J93" s="18"/>
      <c r="K93" s="18"/>
      <c r="L93" s="18"/>
      <c r="M93" s="18"/>
      <c r="N93" s="18"/>
      <c r="O93" s="18"/>
    </row>
    <row r="94" spans="1:16" x14ac:dyDescent="0.45">
      <c r="I94" s="18"/>
      <c r="J94" s="18"/>
      <c r="K94" s="18"/>
      <c r="L94" s="18"/>
      <c r="M94" s="18"/>
      <c r="N94" s="18"/>
      <c r="O94" s="18"/>
    </row>
    <row r="95" spans="1:16" x14ac:dyDescent="0.45">
      <c r="A95" s="16" t="s">
        <v>36</v>
      </c>
      <c r="B95" s="13"/>
      <c r="C95" s="13"/>
      <c r="D95" s="13"/>
      <c r="E95" s="13"/>
      <c r="F95" s="13">
        <f>B69/(1-B69)*(A37-2)</f>
        <v>74.163818997815142</v>
      </c>
    </row>
    <row r="96" spans="1:16" x14ac:dyDescent="0.45">
      <c r="A96" s="16"/>
      <c r="B96" s="13"/>
      <c r="C96" s="13"/>
      <c r="D96" s="13"/>
      <c r="E96" s="13"/>
      <c r="F96" s="13"/>
      <c r="I96" s="12" t="s">
        <v>44</v>
      </c>
      <c r="J96" s="6" t="s">
        <v>45</v>
      </c>
      <c r="K96" s="1">
        <f>B41*1.2</f>
        <v>78.8</v>
      </c>
    </row>
    <row r="98" spans="1:15" x14ac:dyDescent="0.45">
      <c r="A98" s="13" t="s">
        <v>39</v>
      </c>
      <c r="B98" s="13"/>
      <c r="I98" s="12" t="s">
        <v>46</v>
      </c>
      <c r="J98" s="13" t="s">
        <v>47</v>
      </c>
      <c r="K98" s="13"/>
      <c r="L98" s="1">
        <f>B43+B44*K96</f>
        <v>28.557139267767404</v>
      </c>
    </row>
    <row r="99" spans="1:15" x14ac:dyDescent="0.45">
      <c r="A99" s="12" t="s">
        <v>20</v>
      </c>
      <c r="B99" s="1">
        <v>0.05</v>
      </c>
    </row>
    <row r="100" spans="1:15" x14ac:dyDescent="0.45">
      <c r="A100" s="12" t="s">
        <v>83</v>
      </c>
      <c r="B100" s="1" t="s">
        <v>37</v>
      </c>
      <c r="C100" s="1">
        <v>1</v>
      </c>
      <c r="I100" s="1" t="s">
        <v>23</v>
      </c>
      <c r="J100" s="18" t="s">
        <v>48</v>
      </c>
      <c r="K100" s="18"/>
      <c r="L100" s="18"/>
      <c r="M100" s="18"/>
      <c r="N100" s="18"/>
      <c r="O100" s="18"/>
    </row>
    <row r="101" spans="1:15" x14ac:dyDescent="0.45">
      <c r="A101" s="12" t="s">
        <v>84</v>
      </c>
      <c r="B101" s="1" t="s">
        <v>38</v>
      </c>
      <c r="C101" s="1">
        <f>A37-C100-1</f>
        <v>13</v>
      </c>
      <c r="J101" s="18"/>
      <c r="K101" s="18"/>
      <c r="L101" s="18"/>
      <c r="M101" s="18"/>
      <c r="N101" s="18"/>
      <c r="O101" s="18"/>
    </row>
    <row r="103" spans="1:15" x14ac:dyDescent="0.45">
      <c r="A103" s="12" t="s">
        <v>40</v>
      </c>
      <c r="B103" s="1">
        <v>4.67</v>
      </c>
    </row>
    <row r="105" spans="1:15" x14ac:dyDescent="0.45">
      <c r="A105" s="18" t="s">
        <v>41</v>
      </c>
      <c r="B105" s="18"/>
      <c r="C105" s="18"/>
      <c r="D105" s="18"/>
      <c r="E105" s="18"/>
      <c r="F105" s="2"/>
    </row>
    <row r="106" spans="1:15" x14ac:dyDescent="0.45">
      <c r="A106" s="18"/>
      <c r="B106" s="18"/>
      <c r="C106" s="18"/>
      <c r="D106" s="18"/>
      <c r="E106" s="18"/>
    </row>
  </sheetData>
  <mergeCells count="64">
    <mergeCell ref="D69:G69"/>
    <mergeCell ref="B71:I71"/>
    <mergeCell ref="A73:D73"/>
    <mergeCell ref="J35:K35"/>
    <mergeCell ref="J36:K36"/>
    <mergeCell ref="J37:K37"/>
    <mergeCell ref="A49:A51"/>
    <mergeCell ref="I74:N74"/>
    <mergeCell ref="I79:I80"/>
    <mergeCell ref="J79:J80"/>
    <mergeCell ref="I76:I77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I88:P88"/>
    <mergeCell ref="A20:D20"/>
    <mergeCell ref="A87:E87"/>
    <mergeCell ref="A105:E106"/>
    <mergeCell ref="I89:K89"/>
    <mergeCell ref="A91:D91"/>
    <mergeCell ref="A92:F93"/>
    <mergeCell ref="I91:L91"/>
    <mergeCell ref="I92:O94"/>
    <mergeCell ref="J98:K98"/>
    <mergeCell ref="I82:J82"/>
    <mergeCell ref="A86:E86"/>
    <mergeCell ref="A60:D60"/>
    <mergeCell ref="F66:I66"/>
    <mergeCell ref="A75:F75"/>
    <mergeCell ref="A74:G74"/>
    <mergeCell ref="J76:M77"/>
    <mergeCell ref="N76:N77"/>
    <mergeCell ref="K79:K80"/>
    <mergeCell ref="A80:B80"/>
    <mergeCell ref="A76:A78"/>
    <mergeCell ref="B76:C78"/>
    <mergeCell ref="D76:D78"/>
    <mergeCell ref="J100:O101"/>
    <mergeCell ref="A95:A96"/>
    <mergeCell ref="B95:E96"/>
    <mergeCell ref="F95:F96"/>
    <mergeCell ref="A98:B98"/>
    <mergeCell ref="K50:N50"/>
    <mergeCell ref="A2:K2"/>
    <mergeCell ref="A21:E21"/>
    <mergeCell ref="A46:D46"/>
    <mergeCell ref="A1:D1"/>
    <mergeCell ref="J34:K34"/>
    <mergeCell ref="A47:H47"/>
    <mergeCell ref="B65:C67"/>
    <mergeCell ref="A53:D53"/>
    <mergeCell ref="A54:E54"/>
    <mergeCell ref="A56:A58"/>
    <mergeCell ref="B56:B58"/>
    <mergeCell ref="B49:E5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8B25-852C-4AB2-8800-3D3C0E34630E}">
  <dimension ref="A2:J56"/>
  <sheetViews>
    <sheetView zoomScale="101" workbookViewId="0">
      <selection activeCell="P25" sqref="P25"/>
    </sheetView>
  </sheetViews>
  <sheetFormatPr defaultColWidth="7.59765625" defaultRowHeight="14.25" x14ac:dyDescent="0.45"/>
  <cols>
    <col min="1" max="16384" width="7.59765625" style="1"/>
  </cols>
  <sheetData>
    <row r="2" spans="1:10" x14ac:dyDescent="0.45">
      <c r="A2" s="12" t="s">
        <v>55</v>
      </c>
      <c r="B2" s="12" t="s">
        <v>49</v>
      </c>
      <c r="C2" s="12" t="s">
        <v>1</v>
      </c>
      <c r="D2" s="12" t="s">
        <v>51</v>
      </c>
      <c r="E2" s="12" t="s">
        <v>85</v>
      </c>
      <c r="F2" s="12" t="s">
        <v>52</v>
      </c>
      <c r="G2" s="12" t="s">
        <v>53</v>
      </c>
      <c r="H2" s="12" t="s">
        <v>54</v>
      </c>
      <c r="I2" s="12" t="s">
        <v>86</v>
      </c>
      <c r="J2" s="12" t="s">
        <v>87</v>
      </c>
    </row>
    <row r="3" spans="1:10" ht="14.25" customHeight="1" x14ac:dyDescent="0.45">
      <c r="A3" s="1">
        <v>1</v>
      </c>
      <c r="B3" s="1">
        <v>1</v>
      </c>
      <c r="C3" s="1">
        <v>8.4529999999999994</v>
      </c>
      <c r="D3" s="1">
        <f>LN(C3)</f>
        <v>2.1345214079467905</v>
      </c>
      <c r="E3" s="1">
        <f t="shared" ref="E3:E14" si="0">B3^2</f>
        <v>1</v>
      </c>
      <c r="F3" s="1">
        <f t="shared" ref="F3:F14" si="1">D3^2</f>
        <v>4.5561816409831488</v>
      </c>
      <c r="G3" s="1">
        <f t="shared" ref="G3:G14" si="2">D3*B3</f>
        <v>2.1345214079467905</v>
      </c>
      <c r="H3" s="1">
        <f>$B$18-$B$19*B3</f>
        <v>2.3032614494852677</v>
      </c>
      <c r="I3" s="1">
        <f t="shared" ref="I3:I14" si="3">(D3-H3)^2</f>
        <v>2.8473201618407017E-2</v>
      </c>
      <c r="J3" s="1">
        <f>(H3-$D$15/12)^2</f>
        <v>1.349238336674832</v>
      </c>
    </row>
    <row r="4" spans="1:10" x14ac:dyDescent="0.45">
      <c r="A4" s="1">
        <v>2</v>
      </c>
      <c r="B4" s="1">
        <v>2</v>
      </c>
      <c r="C4" s="1">
        <v>7.6660000000000004</v>
      </c>
      <c r="D4" s="1">
        <f t="shared" ref="D4:D14" si="4">LN(C4)</f>
        <v>2.0367949669583636</v>
      </c>
      <c r="E4" s="1">
        <f t="shared" si="0"/>
        <v>4</v>
      </c>
      <c r="F4" s="1">
        <f t="shared" si="1"/>
        <v>4.1485337374269218</v>
      </c>
      <c r="G4" s="1">
        <f t="shared" si="2"/>
        <v>4.0735899339167272</v>
      </c>
      <c r="H4" s="1">
        <f t="shared" ref="H4:H14" si="5">$B$18-$B$19*B4</f>
        <v>2.4581370748065674</v>
      </c>
      <c r="I4" s="1">
        <f t="shared" si="3"/>
        <v>0.17752917184596742</v>
      </c>
      <c r="J4" s="1">
        <f t="shared" ref="J4:J14" si="6">(H4-$D$15/12)^2</f>
        <v>1.7330216857734504</v>
      </c>
    </row>
    <row r="5" spans="1:10" x14ac:dyDescent="0.45">
      <c r="A5" s="1">
        <v>3</v>
      </c>
      <c r="B5" s="1">
        <v>3</v>
      </c>
      <c r="C5" s="1">
        <v>5.0469999999999997</v>
      </c>
      <c r="D5" s="1">
        <f t="shared" si="4"/>
        <v>1.6187940073581253</v>
      </c>
      <c r="E5" s="1">
        <f t="shared" si="0"/>
        <v>9</v>
      </c>
      <c r="F5" s="1">
        <f t="shared" si="1"/>
        <v>2.620494038258578</v>
      </c>
      <c r="G5" s="1">
        <f t="shared" si="2"/>
        <v>4.8563820220743761</v>
      </c>
      <c r="H5" s="1">
        <f t="shared" si="5"/>
        <v>2.6130127001278676</v>
      </c>
      <c r="I5" s="1">
        <f t="shared" si="3"/>
        <v>0.98847080905277518</v>
      </c>
      <c r="J5" s="1">
        <f t="shared" si="6"/>
        <v>2.1647779535093972</v>
      </c>
    </row>
    <row r="6" spans="1:10" x14ac:dyDescent="0.45">
      <c r="A6" s="1">
        <v>4</v>
      </c>
      <c r="B6" s="1">
        <v>4</v>
      </c>
      <c r="C6" s="1">
        <v>3.6280000000000001</v>
      </c>
      <c r="D6" s="1">
        <f t="shared" si="4"/>
        <v>1.2886815322528902</v>
      </c>
      <c r="E6" s="1">
        <f t="shared" si="0"/>
        <v>16</v>
      </c>
      <c r="F6" s="1">
        <f t="shared" si="1"/>
        <v>1.6607000915696568</v>
      </c>
      <c r="G6" s="1">
        <f t="shared" si="2"/>
        <v>5.1547261290115607</v>
      </c>
      <c r="H6" s="1">
        <f t="shared" si="5"/>
        <v>2.7678883254491673</v>
      </c>
      <c r="I6" s="1">
        <f t="shared" si="3"/>
        <v>2.1880527370380136</v>
      </c>
      <c r="J6" s="1">
        <f t="shared" si="6"/>
        <v>2.6445071398826703</v>
      </c>
    </row>
    <row r="7" spans="1:10" x14ac:dyDescent="0.45">
      <c r="A7" s="1">
        <v>5</v>
      </c>
      <c r="B7" s="1">
        <v>5</v>
      </c>
      <c r="C7" s="1">
        <v>3.464</v>
      </c>
      <c r="D7" s="1">
        <f t="shared" si="4"/>
        <v>1.2424239907001886</v>
      </c>
      <c r="E7" s="1">
        <f t="shared" si="0"/>
        <v>25</v>
      </c>
      <c r="F7" s="1">
        <f t="shared" si="1"/>
        <v>1.5436173726673823</v>
      </c>
      <c r="G7" s="1">
        <f t="shared" si="2"/>
        <v>6.2121199535009435</v>
      </c>
      <c r="H7" s="1">
        <f t="shared" si="5"/>
        <v>2.9227639507704675</v>
      </c>
      <c r="I7" s="1">
        <f t="shared" si="3"/>
        <v>2.8235423814089864</v>
      </c>
      <c r="J7" s="1">
        <f t="shared" si="6"/>
        <v>3.1722092448932719</v>
      </c>
    </row>
    <row r="8" spans="1:10" x14ac:dyDescent="0.45">
      <c r="A8" s="1">
        <v>6</v>
      </c>
      <c r="B8" s="1">
        <v>6</v>
      </c>
      <c r="C8" s="1">
        <v>2.4340000000000002</v>
      </c>
      <c r="D8" s="1">
        <f t="shared" si="4"/>
        <v>0.8895359945653355</v>
      </c>
      <c r="E8" s="1">
        <f t="shared" si="0"/>
        <v>36</v>
      </c>
      <c r="F8" s="1">
        <f t="shared" si="1"/>
        <v>0.79127428562734059</v>
      </c>
      <c r="G8" s="1">
        <f t="shared" si="2"/>
        <v>5.3372159673920132</v>
      </c>
      <c r="H8" s="1">
        <f t="shared" si="5"/>
        <v>3.0776395760917676</v>
      </c>
      <c r="I8" s="1">
        <f t="shared" si="3"/>
        <v>4.7877972834887998</v>
      </c>
      <c r="J8" s="1">
        <f t="shared" si="6"/>
        <v>3.7478842685412013</v>
      </c>
    </row>
    <row r="9" spans="1:10" x14ac:dyDescent="0.45">
      <c r="A9" s="1">
        <v>7</v>
      </c>
      <c r="B9" s="1">
        <v>7</v>
      </c>
      <c r="C9" s="1">
        <v>2.9049999999999998</v>
      </c>
      <c r="D9" s="1">
        <f t="shared" si="4"/>
        <v>1.0664333903038745</v>
      </c>
      <c r="E9" s="1">
        <f t="shared" si="0"/>
        <v>49</v>
      </c>
      <c r="F9" s="1">
        <f t="shared" si="1"/>
        <v>1.137280175955016</v>
      </c>
      <c r="G9" s="1">
        <f t="shared" si="2"/>
        <v>7.4650337321271216</v>
      </c>
      <c r="H9" s="1">
        <f t="shared" si="5"/>
        <v>3.2325152014130674</v>
      </c>
      <c r="I9" s="1">
        <f t="shared" si="3"/>
        <v>4.691910412418081</v>
      </c>
      <c r="J9" s="1">
        <f t="shared" si="6"/>
        <v>4.371532210826456</v>
      </c>
    </row>
    <row r="10" spans="1:10" x14ac:dyDescent="0.45">
      <c r="A10" s="1">
        <v>8</v>
      </c>
      <c r="B10" s="1">
        <v>8</v>
      </c>
      <c r="C10" s="1">
        <v>3.1669999999999998</v>
      </c>
      <c r="D10" s="1">
        <f t="shared" si="4"/>
        <v>1.1527847675565026</v>
      </c>
      <c r="E10" s="1">
        <f t="shared" si="0"/>
        <v>64</v>
      </c>
      <c r="F10" s="1">
        <f t="shared" si="1"/>
        <v>1.3289127203102997</v>
      </c>
      <c r="G10" s="1">
        <f t="shared" si="2"/>
        <v>9.2222781404520209</v>
      </c>
      <c r="H10" s="1">
        <f t="shared" si="5"/>
        <v>3.3873908267343671</v>
      </c>
      <c r="I10" s="1">
        <f t="shared" si="3"/>
        <v>4.9934642397144264</v>
      </c>
      <c r="J10" s="1">
        <f t="shared" si="6"/>
        <v>5.043153071749038</v>
      </c>
    </row>
    <row r="11" spans="1:10" x14ac:dyDescent="0.45">
      <c r="A11" s="1">
        <v>9</v>
      </c>
      <c r="B11" s="1">
        <v>9</v>
      </c>
      <c r="C11" s="1">
        <v>2.1419999999999999</v>
      </c>
      <c r="D11" s="1">
        <f t="shared" si="4"/>
        <v>0.76173997202555699</v>
      </c>
      <c r="E11" s="1">
        <f t="shared" si="0"/>
        <v>81</v>
      </c>
      <c r="F11" s="1">
        <f t="shared" si="1"/>
        <v>0.58024778498149632</v>
      </c>
      <c r="G11" s="1">
        <f t="shared" si="2"/>
        <v>6.8556597482300132</v>
      </c>
      <c r="H11" s="1">
        <f t="shared" si="5"/>
        <v>3.5422664520556673</v>
      </c>
      <c r="I11" s="1">
        <f t="shared" si="3"/>
        <v>7.7313275061486362</v>
      </c>
      <c r="J11" s="1">
        <f t="shared" si="6"/>
        <v>5.7627468513089504</v>
      </c>
    </row>
    <row r="12" spans="1:10" x14ac:dyDescent="0.45">
      <c r="A12" s="1">
        <v>10</v>
      </c>
      <c r="B12" s="1">
        <v>10</v>
      </c>
      <c r="C12" s="1">
        <v>2.028</v>
      </c>
      <c r="D12" s="1">
        <f t="shared" si="4"/>
        <v>0.70705008572893679</v>
      </c>
      <c r="E12" s="1">
        <f t="shared" si="0"/>
        <v>100</v>
      </c>
      <c r="F12" s="1">
        <f t="shared" si="1"/>
        <v>0.49991982372929689</v>
      </c>
      <c r="G12" s="1">
        <f t="shared" si="2"/>
        <v>7.0705008572893675</v>
      </c>
      <c r="H12" s="1">
        <f t="shared" si="5"/>
        <v>3.6971420773769674</v>
      </c>
      <c r="I12" s="1">
        <f t="shared" si="3"/>
        <v>8.9406501185176879</v>
      </c>
      <c r="J12" s="1">
        <f t="shared" si="6"/>
        <v>6.5303135495061886</v>
      </c>
    </row>
    <row r="13" spans="1:10" x14ac:dyDescent="0.45">
      <c r="A13" s="1">
        <v>11</v>
      </c>
      <c r="B13" s="1">
        <v>11</v>
      </c>
      <c r="C13" s="1">
        <v>2.992</v>
      </c>
      <c r="D13" s="1">
        <f t="shared" si="4"/>
        <v>1.0959420601122307</v>
      </c>
      <c r="E13" s="1">
        <f t="shared" si="0"/>
        <v>121</v>
      </c>
      <c r="F13" s="1">
        <f t="shared" si="1"/>
        <v>1.2010889991230402</v>
      </c>
      <c r="G13" s="1">
        <f t="shared" si="2"/>
        <v>12.055362661234538</v>
      </c>
      <c r="H13" s="1">
        <f t="shared" si="5"/>
        <v>3.8520177026982672</v>
      </c>
      <c r="I13" s="1">
        <f t="shared" si="3"/>
        <v>7.5959529476560332</v>
      </c>
      <c r="J13" s="1">
        <f t="shared" si="6"/>
        <v>7.3458531663407527</v>
      </c>
    </row>
    <row r="14" spans="1:10" x14ac:dyDescent="0.45">
      <c r="A14" s="1">
        <v>12</v>
      </c>
      <c r="B14" s="1">
        <v>12</v>
      </c>
      <c r="C14" s="1">
        <v>0.745</v>
      </c>
      <c r="D14" s="1">
        <f t="shared" si="4"/>
        <v>-0.29437106060257756</v>
      </c>
      <c r="E14" s="1">
        <f t="shared" si="0"/>
        <v>144</v>
      </c>
      <c r="F14" s="1">
        <f t="shared" si="1"/>
        <v>8.6654321320286387E-2</v>
      </c>
      <c r="G14" s="1">
        <f t="shared" si="2"/>
        <v>-3.5324527272309307</v>
      </c>
      <c r="H14" s="1">
        <f t="shared" si="5"/>
        <v>4.0068933280195669</v>
      </c>
      <c r="I14" s="1">
        <f t="shared" si="3"/>
        <v>18.500875340829026</v>
      </c>
      <c r="J14" s="1">
        <f t="shared" si="6"/>
        <v>8.2093657018126454</v>
      </c>
    </row>
    <row r="15" spans="1:10" x14ac:dyDescent="0.45">
      <c r="A15" s="12" t="s">
        <v>50</v>
      </c>
      <c r="B15" s="1">
        <f t="shared" ref="B15:G15" si="7">SUM(B3:B14)</f>
        <v>78</v>
      </c>
      <c r="C15" s="1">
        <f t="shared" si="7"/>
        <v>44.670999999999999</v>
      </c>
      <c r="D15" s="1">
        <f t="shared" si="7"/>
        <v>13.700331114906218</v>
      </c>
      <c r="E15" s="1">
        <f t="shared" si="7"/>
        <v>650</v>
      </c>
      <c r="F15" s="1">
        <f t="shared" si="7"/>
        <v>20.15490499195246</v>
      </c>
      <c r="G15" s="1">
        <f t="shared" si="7"/>
        <v>66.904937825944529</v>
      </c>
      <c r="I15" s="1">
        <f>SUM(I3:I14)</f>
        <v>63.44804614973684</v>
      </c>
      <c r="J15" s="1">
        <f>SUM(J3:J14)</f>
        <v>52.074603180818855</v>
      </c>
    </row>
    <row r="18" spans="1:9" x14ac:dyDescent="0.45">
      <c r="A18" s="12" t="s">
        <v>88</v>
      </c>
      <c r="B18" s="9">
        <f>(D15*E15-B15*G15)/(A14*E15-B15*B15)</f>
        <v>2.1483858241639675</v>
      </c>
      <c r="D18" s="5" t="s">
        <v>56</v>
      </c>
      <c r="E18" s="16" t="s">
        <v>57</v>
      </c>
      <c r="F18" s="16"/>
      <c r="G18" s="5" t="s">
        <v>56</v>
      </c>
      <c r="H18" s="13" t="s">
        <v>58</v>
      </c>
      <c r="I18" s="13"/>
    </row>
    <row r="19" spans="1:9" x14ac:dyDescent="0.45">
      <c r="A19" s="12" t="s">
        <v>89</v>
      </c>
      <c r="B19" s="9">
        <f>(A14*G15-B15*D15)/(A14*E15-B15*B15)</f>
        <v>-0.15487562532129998</v>
      </c>
      <c r="E19" s="12" t="s">
        <v>59</v>
      </c>
      <c r="F19" s="9">
        <f>EXP(B18)</f>
        <v>8.571012104379486</v>
      </c>
    </row>
    <row r="56" ht="14.65" customHeight="1" x14ac:dyDescent="0.45"/>
  </sheetData>
  <mergeCells count="2">
    <mergeCell ref="E18:F18"/>
    <mergeCell ref="H18:I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Регрессионный анализ</vt:lpstr>
      <vt:lpstr>Распад радиоактивного рещества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</dc:creator>
  <cp:lastModifiedBy>Мария Кочеткова</cp:lastModifiedBy>
  <dcterms:created xsi:type="dcterms:W3CDTF">2015-06-05T18:19:34Z</dcterms:created>
  <dcterms:modified xsi:type="dcterms:W3CDTF">2024-04-08T10:28:29Z</dcterms:modified>
</cp:coreProperties>
</file>
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1686741\Desktop\ит в мат\"/>
    </mc:Choice>
  </mc:AlternateContent>
  <xr:revisionPtr revIDLastSave="0" documentId="13_ncr:1_{2C4260F8-99E3-427D-8A00-F4B6EBD5B1A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Задание 2.0" sheetId="1" r:id="rId1"/>
    <sheet name="Задание 2.1" sheetId="2" r:id="rId2"/>
    <sheet name="Задание 2.2" sheetId="4" r:id="rId3"/>
    <sheet name="Задание 2.2 (2)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15" i="6" l="1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L6" i="4"/>
  <c r="M6" i="4"/>
  <c r="N6" i="4"/>
  <c r="O6" i="4"/>
  <c r="P6" i="4"/>
  <c r="L7" i="4"/>
  <c r="M7" i="4"/>
  <c r="N7" i="4"/>
  <c r="O7" i="4"/>
  <c r="P7" i="4"/>
  <c r="L8" i="4"/>
  <c r="M8" i="4"/>
  <c r="N8" i="4"/>
  <c r="O8" i="4"/>
  <c r="P8" i="4"/>
  <c r="L9" i="4"/>
  <c r="M9" i="4"/>
  <c r="N9" i="4"/>
  <c r="O9" i="4"/>
  <c r="P9" i="4"/>
  <c r="L10" i="4"/>
  <c r="M10" i="4"/>
  <c r="N10" i="4"/>
  <c r="O10" i="4"/>
  <c r="P10" i="4"/>
  <c r="L11" i="4"/>
  <c r="M11" i="4"/>
  <c r="N11" i="4"/>
  <c r="O11" i="4"/>
  <c r="P11" i="4"/>
  <c r="L12" i="4"/>
  <c r="M12" i="4"/>
  <c r="N12" i="4"/>
  <c r="O12" i="4"/>
  <c r="P12" i="4"/>
  <c r="L13" i="4"/>
  <c r="M13" i="4"/>
  <c r="N13" i="4"/>
  <c r="O13" i="4"/>
  <c r="P13" i="4"/>
  <c r="L14" i="4"/>
  <c r="M14" i="4"/>
  <c r="N14" i="4"/>
  <c r="O14" i="4"/>
  <c r="P14" i="4"/>
  <c r="L15" i="4"/>
  <c r="M15" i="4"/>
  <c r="N15" i="4"/>
  <c r="O15" i="4"/>
  <c r="P15" i="4"/>
  <c r="M5" i="4"/>
  <c r="N5" i="4"/>
  <c r="O5" i="4"/>
  <c r="P5" i="4"/>
  <c r="B15" i="4"/>
  <c r="C15" i="4"/>
  <c r="D15" i="4"/>
  <c r="E15" i="4"/>
  <c r="F15" i="4"/>
  <c r="G15" i="4"/>
  <c r="H15" i="4"/>
  <c r="I15" i="4"/>
  <c r="J15" i="4"/>
  <c r="K15" i="4"/>
  <c r="B14" i="4"/>
  <c r="C14" i="4"/>
  <c r="D14" i="4"/>
  <c r="E14" i="4"/>
  <c r="F14" i="4"/>
  <c r="G14" i="4"/>
  <c r="H14" i="4"/>
  <c r="I14" i="4"/>
  <c r="J14" i="4"/>
  <c r="K14" i="4"/>
  <c r="B13" i="4"/>
  <c r="C13" i="4"/>
  <c r="D13" i="4"/>
  <c r="E13" i="4"/>
  <c r="F13" i="4"/>
  <c r="G13" i="4"/>
  <c r="H13" i="4"/>
  <c r="I13" i="4"/>
  <c r="J13" i="4"/>
  <c r="K13" i="4"/>
  <c r="B12" i="4"/>
  <c r="C12" i="4"/>
  <c r="D12" i="4"/>
  <c r="E12" i="4"/>
  <c r="F12" i="4"/>
  <c r="G12" i="4"/>
  <c r="H12" i="4"/>
  <c r="I12" i="4"/>
  <c r="J12" i="4"/>
  <c r="K12" i="4"/>
  <c r="B11" i="4"/>
  <c r="C11" i="4"/>
  <c r="D11" i="4"/>
  <c r="E11" i="4"/>
  <c r="F11" i="4"/>
  <c r="G11" i="4"/>
  <c r="H11" i="4"/>
  <c r="I11" i="4"/>
  <c r="J11" i="4"/>
  <c r="K11" i="4"/>
  <c r="B10" i="4"/>
  <c r="C10" i="4"/>
  <c r="D10" i="4"/>
  <c r="E10" i="4"/>
  <c r="F10" i="4"/>
  <c r="G10" i="4"/>
  <c r="H10" i="4"/>
  <c r="I10" i="4"/>
  <c r="J10" i="4"/>
  <c r="K10" i="4"/>
  <c r="B6" i="4"/>
  <c r="C6" i="4"/>
  <c r="D6" i="4"/>
  <c r="E6" i="4"/>
  <c r="F6" i="4"/>
  <c r="G6" i="4"/>
  <c r="H6" i="4"/>
  <c r="I6" i="4"/>
  <c r="J6" i="4"/>
  <c r="K6" i="4"/>
  <c r="B7" i="4"/>
  <c r="C7" i="4"/>
  <c r="D7" i="4"/>
  <c r="E7" i="4"/>
  <c r="F7" i="4"/>
  <c r="G7" i="4"/>
  <c r="H7" i="4"/>
  <c r="I7" i="4"/>
  <c r="J7" i="4"/>
  <c r="K7" i="4"/>
  <c r="B8" i="4"/>
  <c r="C8" i="4"/>
  <c r="D8" i="4"/>
  <c r="E8" i="4"/>
  <c r="F8" i="4"/>
  <c r="G8" i="4"/>
  <c r="H8" i="4"/>
  <c r="I8" i="4"/>
  <c r="J8" i="4"/>
  <c r="K8" i="4"/>
  <c r="B9" i="4"/>
  <c r="C9" i="4"/>
  <c r="D9" i="4"/>
  <c r="E9" i="4"/>
  <c r="F9" i="4"/>
  <c r="G9" i="4"/>
  <c r="H9" i="4"/>
  <c r="I9" i="4"/>
  <c r="J9" i="4"/>
  <c r="K9" i="4"/>
  <c r="C5" i="4"/>
  <c r="D5" i="4"/>
  <c r="E5" i="4"/>
  <c r="F5" i="4"/>
  <c r="G5" i="4"/>
  <c r="H5" i="4"/>
  <c r="I5" i="4"/>
  <c r="J5" i="4"/>
  <c r="K5" i="4"/>
  <c r="L5" i="4"/>
  <c r="B5" i="4"/>
  <c r="C50" i="2"/>
  <c r="D50" i="2"/>
  <c r="E50" i="2"/>
  <c r="F50" i="2"/>
  <c r="G50" i="2"/>
  <c r="H50" i="2"/>
  <c r="B50" i="2"/>
  <c r="A56" i="2"/>
  <c r="A53" i="2"/>
  <c r="C34" i="2"/>
  <c r="D34" i="2"/>
  <c r="E34" i="2"/>
  <c r="F34" i="2"/>
  <c r="G34" i="2"/>
  <c r="H34" i="2"/>
  <c r="I34" i="2"/>
  <c r="J34" i="2"/>
  <c r="K34" i="2"/>
  <c r="L34" i="2"/>
  <c r="M34" i="2"/>
  <c r="N34" i="2"/>
  <c r="B34" i="2"/>
  <c r="A40" i="2"/>
  <c r="A37" i="2"/>
  <c r="C18" i="2"/>
  <c r="D18" i="2"/>
  <c r="E18" i="2"/>
  <c r="F18" i="2"/>
  <c r="G18" i="2"/>
  <c r="H18" i="2"/>
  <c r="I18" i="2"/>
  <c r="J18" i="2"/>
  <c r="K18" i="2"/>
  <c r="L18" i="2"/>
  <c r="M18" i="2"/>
  <c r="N18" i="2"/>
  <c r="B18" i="2"/>
  <c r="A21" i="2"/>
  <c r="C2" i="2"/>
  <c r="D2" i="2"/>
  <c r="E2" i="2"/>
  <c r="F2" i="2"/>
  <c r="G2" i="2"/>
  <c r="H2" i="2"/>
  <c r="B2" i="2"/>
</calcChain>
</file>

<file path=xl/sharedStrings.xml><?xml version="1.0" encoding="utf-8"?>
<sst xmlns="http://schemas.openxmlformats.org/spreadsheetml/2006/main" count="24" uniqueCount="19">
  <si>
    <t>день рождения</t>
  </si>
  <si>
    <t>месяц рождения</t>
  </si>
  <si>
    <t>год рождения</t>
  </si>
  <si>
    <t>№ квартиры</t>
  </si>
  <si>
    <t>№ дома</t>
  </si>
  <si>
    <t>№ варианта</t>
  </si>
  <si>
    <t>порядковый №</t>
  </si>
  <si>
    <t>x</t>
  </si>
  <si>
    <t>y=|a/b +|x||</t>
  </si>
  <si>
    <t>y=ax^2+bx+c</t>
  </si>
  <si>
    <t>c=остат</t>
  </si>
  <si>
    <t>y=|-5x^2+bx+c|</t>
  </si>
  <si>
    <t>b=срзнач</t>
  </si>
  <si>
    <t>c=срзнач</t>
  </si>
  <si>
    <t>a=мод +3</t>
  </si>
  <si>
    <t>b=НОД</t>
  </si>
  <si>
    <t>y=logₐb</t>
  </si>
  <si>
    <t xml:space="preserve">a 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</si>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</sst>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BE5FF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2" borderId="3">
      <alignment horizontal="center"/>
    </xf>
    <xf numFmtId="0" fontId="3" fillId="3" borderId="3">
      <alignment horizontal="center"/>
    </xf>
    <xf numFmtId="0" fontId="1" fillId="2" borderId="2" applyNumberFormat="0" applyAlignment="0" applyProtection="0"/>
    <xf numFmtId="0" fontId="2" fillId="4" borderId="1" applyNumberFormat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3" fillId="2" borderId="3" xfId="1">
      <alignment horizontal="center"/>
    </xf>
    <xf numFmtId="0" fontId="3" fillId="3" borderId="3" xfId="2">
      <alignment horizontal="center"/>
    </xf>
    <xf numFmtId="0" fontId="4" fillId="0" borderId="0" xfId="0" applyFont="1" applyAlignment="1">
      <alignment horizontal="center"/>
    </xf>
  </cellXfs>
  <cellStyles count="5">
    <cellStyle name="x" xfId="1" xr:uid="{37377BA1-A3A2-4BC5-A670-12C82A16D28E}"/>
    <cellStyle name="y" xfId="2" xr:uid="{1E9690D9-0237-480B-BB6B-D14FC614ADC8}"/>
    <cellStyle name="Вывод 2" xfId="3" xr:uid="{9DC5062E-5DF7-4500-99BA-9822E25986EF}"/>
    <cellStyle name="Вычисление 2" xfId="4" xr:uid="{42ADC9CD-8D5A-4C7D-A2DD-3770BEE2563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013779527559058E-2"/>
          <c:y val="0.17171296296296296"/>
          <c:w val="0.9000973315835521"/>
          <c:h val="0.69935987168270641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2.1'!$A$2</c:f>
              <c:strCache>
                <c:ptCount val="1"/>
                <c:pt idx="0">
                  <c:v>y=|a/b +|x||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2.1'!$B$1:$H$1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xVal>
          <c:yVal>
            <c:numRef>
              <c:f>'Задание 2.1'!$B$2:$H$2</c:f>
              <c:numCache>
                <c:formatCode>General</c:formatCode>
                <c:ptCount val="7"/>
                <c:pt idx="0">
                  <c:v>10.571428571428571</c:v>
                </c:pt>
                <c:pt idx="1">
                  <c:v>9.5714285714285712</c:v>
                </c:pt>
                <c:pt idx="2">
                  <c:v>8.5714285714285712</c:v>
                </c:pt>
                <c:pt idx="3">
                  <c:v>7.5714285714285712</c:v>
                </c:pt>
                <c:pt idx="4">
                  <c:v>8.5714285714285712</c:v>
                </c:pt>
                <c:pt idx="5">
                  <c:v>9.5714285714285712</c:v>
                </c:pt>
                <c:pt idx="6">
                  <c:v>10.571428571428571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A-4186-8DF7-0874C3F17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421088"/>
        <c:axId val="1634422336"/>
      </c:scatterChart>
      <c:valAx>
        <c:axId val="163442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973600174978133"/>
              <c:y val="0.784027777777777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4422336"/>
        <c:crosses val="autoZero"/>
        <c:crossBetween val="midCat"/>
      </c:valAx>
      <c:valAx>
        <c:axId val="1634422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2222222222222225"/>
              <c:y val="0.15414734616506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3442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4081809689043104E-2"/>
          <c:y val="0.176934969751014"/>
          <c:w val="0.8984040660171716"/>
          <c:h val="0.70452829536652994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2.1'!$A$18</c:f>
              <c:strCache>
                <c:ptCount val="1"/>
                <c:pt idx="0">
                  <c:v>y=ax^2+bx+c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2.1'!$B$17:$N$17</c:f>
              <c:numCache>
                <c:formatCode>General</c:formatCode>
                <c:ptCount val="13"/>
                <c:pt idx="0">
                  <c:v>-3.75</c:v>
                </c:pt>
                <c:pt idx="1">
                  <c:v>-3.5</c:v>
                </c:pt>
                <c:pt idx="2">
                  <c:v>-2</c:v>
                </c:pt>
                <c:pt idx="3">
                  <c:v>-1.25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1.25</c:v>
                </c:pt>
                <c:pt idx="10">
                  <c:v>2</c:v>
                </c:pt>
                <c:pt idx="11">
                  <c:v>3.5</c:v>
                </c:pt>
                <c:pt idx="12">
                  <c:v>3.75</c:v>
                </c:pt>
              </c:numCache>
            </c:numRef>
          </c:xVal>
          <c:yVal>
            <c:numRef>
              <c:f>'Задание 2.1'!$B$18:$N$18</c:f>
              <c:numCache>
                <c:formatCode>General</c:formatCode>
                <c:ptCount val="13"/>
                <c:pt idx="0">
                  <c:v>72.4375</c:v>
                </c:pt>
                <c:pt idx="1">
                  <c:v>61.75</c:v>
                </c:pt>
                <c:pt idx="2">
                  <c:v>16</c:v>
                </c:pt>
                <c:pt idx="3">
                  <c:v>4.9375</c:v>
                </c:pt>
                <c:pt idx="4">
                  <c:v>3</c:v>
                </c:pt>
                <c:pt idx="5">
                  <c:v>1.75</c:v>
                </c:pt>
                <c:pt idx="6">
                  <c:v>4</c:v>
                </c:pt>
                <c:pt idx="7">
                  <c:v>9.75</c:v>
                </c:pt>
                <c:pt idx="8">
                  <c:v>19</c:v>
                </c:pt>
                <c:pt idx="9">
                  <c:v>24.9375</c:v>
                </c:pt>
                <c:pt idx="10">
                  <c:v>48</c:v>
                </c:pt>
                <c:pt idx="11">
                  <c:v>117.75</c:v>
                </c:pt>
                <c:pt idx="12">
                  <c:v>132.4375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1-46F2-8B81-6D8BE94E0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664624"/>
        <c:axId val="1812666288"/>
      </c:scatterChart>
      <c:valAx>
        <c:axId val="181266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357333511277195"/>
              <c:y val="0.782230213827614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2666288"/>
        <c:crosses val="autoZero"/>
        <c:crossBetween val="midCat"/>
      </c:valAx>
      <c:valAx>
        <c:axId val="181266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1977401129943501"/>
              <c:y val="0.154231890612334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266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013779527559058E-2"/>
          <c:y val="0.17171296296296296"/>
          <c:w val="0.9000973315835521"/>
          <c:h val="0.7132487605715952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2.1'!$A$34</c:f>
              <c:strCache>
                <c:ptCount val="1"/>
                <c:pt idx="0">
                  <c:v>y=|-5x^2+bx+c|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2.1'!$B$33:$N$33</c:f>
              <c:numCache>
                <c:formatCode>General</c:formatCode>
                <c:ptCount val="13"/>
                <c:pt idx="0">
                  <c:v>-3.75</c:v>
                </c:pt>
                <c:pt idx="1">
                  <c:v>-3.5</c:v>
                </c:pt>
                <c:pt idx="2">
                  <c:v>-2</c:v>
                </c:pt>
                <c:pt idx="3">
                  <c:v>-1.25</c:v>
                </c:pt>
                <c:pt idx="4">
                  <c:v>-1</c:v>
                </c:pt>
                <c:pt idx="5">
                  <c:v>-0.5</c:v>
                </c:pt>
                <c:pt idx="6">
                  <c:v>0</c:v>
                </c:pt>
                <c:pt idx="7">
                  <c:v>0.5</c:v>
                </c:pt>
                <c:pt idx="8">
                  <c:v>1</c:v>
                </c:pt>
                <c:pt idx="9">
                  <c:v>1.25</c:v>
                </c:pt>
                <c:pt idx="10">
                  <c:v>2</c:v>
                </c:pt>
                <c:pt idx="11">
                  <c:v>3.5</c:v>
                </c:pt>
                <c:pt idx="12">
                  <c:v>3.75</c:v>
                </c:pt>
              </c:numCache>
            </c:numRef>
          </c:xVal>
          <c:yVal>
            <c:numRef>
              <c:f>'Задание 2.1'!$B$34:$N$34</c:f>
              <c:numCache>
                <c:formatCode>General</c:formatCode>
                <c:ptCount val="13"/>
                <c:pt idx="0">
                  <c:v>127.64583333333333</c:v>
                </c:pt>
                <c:pt idx="1">
                  <c:v>112.91666666666667</c:v>
                </c:pt>
                <c:pt idx="2">
                  <c:v>37.666666666666671</c:v>
                </c:pt>
                <c:pt idx="3">
                  <c:v>8.4791666666666679</c:v>
                </c:pt>
                <c:pt idx="4">
                  <c:v>0</c:v>
                </c:pt>
                <c:pt idx="5">
                  <c:v>15.083333333333334</c:v>
                </c:pt>
                <c:pt idx="6">
                  <c:v>27.666666666666668</c:v>
                </c:pt>
                <c:pt idx="7">
                  <c:v>37.75</c:v>
                </c:pt>
                <c:pt idx="8">
                  <c:v>45.333333333333336</c:v>
                </c:pt>
                <c:pt idx="9">
                  <c:v>48.1875</c:v>
                </c:pt>
                <c:pt idx="10">
                  <c:v>53</c:v>
                </c:pt>
                <c:pt idx="11">
                  <c:v>45.750000000000014</c:v>
                </c:pt>
                <c:pt idx="12">
                  <c:v>42.354166666666671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C2-4763-BFC3-A1D81A087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448160"/>
        <c:axId val="1817465216"/>
      </c:scatterChart>
      <c:valAx>
        <c:axId val="181744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2762489063867015"/>
              <c:y val="0.797916666666666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7465216"/>
        <c:crosses val="autoZero"/>
        <c:crossBetween val="midCat"/>
      </c:valAx>
      <c:valAx>
        <c:axId val="181746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2222222222222225"/>
              <c:y val="0.155177529892096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7448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013779527559058E-2"/>
          <c:y val="0.17171296296296296"/>
          <c:w val="0.9000973315835521"/>
          <c:h val="0.69473024205307665"/>
        </c:manualLayout>
      </c:layout>
      <c:scatterChart>
        <c:scatterStyle val="lineMarker"/>
        <c:varyColors val="0"/>
        <c:ser>
          <c:idx val="0"/>
          <c:order val="0"/>
          <c:tx>
            <c:strRef>
              <c:f>'Задание 2.1'!$A$50</c:f>
              <c:strCache>
                <c:ptCount val="1"/>
                <c:pt idx="0">
                  <c:v>y=logₐb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'Задание 2.1'!$B$49:$H$49</c:f>
              <c:numCache>
                <c:formatCode>General</c:formatCode>
                <c:ptCount val="7"/>
                <c:pt idx="0">
                  <c:v>-4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</c:numCache>
            </c:numRef>
          </c:xVal>
          <c:yVal>
            <c:numRef>
              <c:f>'Задание 2.1'!$B$50:$H$50</c:f>
              <c:numCache>
                <c:formatCode>General</c:formatCode>
                <c:ptCount val="7"/>
                <c:pt idx="0">
                  <c:v>2.8774437510817346</c:v>
                </c:pt>
                <c:pt idx="1">
                  <c:v>2.8774437510817346</c:v>
                </c:pt>
                <c:pt idx="2">
                  <c:v>2.8774437510817346</c:v>
                </c:pt>
                <c:pt idx="3">
                  <c:v>2.8774437510817346</c:v>
                </c:pt>
                <c:pt idx="4">
                  <c:v>2.8774437510817346</c:v>
                </c:pt>
                <c:pt idx="5">
                  <c:v>2.8774437510817346</c:v>
                </c:pt>
                <c:pt idx="6">
                  <c:v>2.8774437510817346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5-4705-AD5C-916F59FCE0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8165392"/>
        <c:axId val="1818141680"/>
      </c:scatterChart>
      <c:valAx>
        <c:axId val="181816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x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9304026684164477"/>
              <c:y val="0.774768518518518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8141680"/>
        <c:crosses val="autoZero"/>
        <c:crossBetween val="midCat"/>
      </c:valAx>
      <c:valAx>
        <c:axId val="181814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</a:t>
                </a:r>
                <a:endParaRPr lang="ru-RU" sz="1200" b="1"/>
              </a:p>
            </c:rich>
          </c:tx>
          <c:layout>
            <c:manualLayout>
              <c:xMode val="edge"/>
              <c:yMode val="edge"/>
              <c:x val="0.51944444444444449"/>
              <c:y val="0.150374380285797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1816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Эллиптический</a:t>
            </a:r>
            <a:r>
              <a:rPr lang="ru-RU" baseline="0"/>
              <a:t> параболоид</a:t>
            </a:r>
            <a:endParaRPr lang="ru-RU"/>
          </a:p>
        </c:rich>
      </c:tx>
      <c:layout>
        <c:manualLayout>
          <c:xMode val="edge"/>
          <c:yMode val="edge"/>
          <c:x val="0.22374403199600049"/>
          <c:y val="2.7777691208529218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4124484439446"/>
          <c:y val="0.17266656486123036"/>
          <c:w val="0.66073940757405325"/>
          <c:h val="0.61993160856225282"/>
        </c:manualLayout>
      </c:layout>
      <c:surface3DChart>
        <c:wireframe val="0"/>
        <c:ser>
          <c:idx val="0"/>
          <c:order val="0"/>
          <c:tx>
            <c:strRef>
              <c:f>'Задание 2.2'!$A$5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2.2'!$B$5:$P$5</c:f>
              <c:numCache>
                <c:formatCode>General</c:formatCode>
                <c:ptCount val="15"/>
                <c:pt idx="0">
                  <c:v>74</c:v>
                </c:pt>
                <c:pt idx="1">
                  <c:v>61</c:v>
                </c:pt>
                <c:pt idx="2">
                  <c:v>50</c:v>
                </c:pt>
                <c:pt idx="3">
                  <c:v>41</c:v>
                </c:pt>
                <c:pt idx="4">
                  <c:v>34</c:v>
                </c:pt>
                <c:pt idx="5">
                  <c:v>29</c:v>
                </c:pt>
                <c:pt idx="6">
                  <c:v>26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34</c:v>
                </c:pt>
                <c:pt idx="11">
                  <c:v>41</c:v>
                </c:pt>
                <c:pt idx="12">
                  <c:v>50</c:v>
                </c:pt>
                <c:pt idx="13">
                  <c:v>61</c:v>
                </c:pt>
                <c:pt idx="1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9C-4871-A054-3D667C479FDA}"/>
            </c:ext>
          </c:extLst>
        </c:ser>
        <c:ser>
          <c:idx val="1"/>
          <c:order val="1"/>
          <c:tx>
            <c:strRef>
              <c:f>'Задание 2.2'!$A$6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2.2'!$B$6:$P$6</c:f>
              <c:numCache>
                <c:formatCode>General</c:formatCode>
                <c:ptCount val="15"/>
                <c:pt idx="0">
                  <c:v>65</c:v>
                </c:pt>
                <c:pt idx="1">
                  <c:v>52</c:v>
                </c:pt>
                <c:pt idx="2">
                  <c:v>41</c:v>
                </c:pt>
                <c:pt idx="3">
                  <c:v>32</c:v>
                </c:pt>
                <c:pt idx="4">
                  <c:v>25</c:v>
                </c:pt>
                <c:pt idx="5">
                  <c:v>20</c:v>
                </c:pt>
                <c:pt idx="6">
                  <c:v>17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32</c:v>
                </c:pt>
                <c:pt idx="12">
                  <c:v>41</c:v>
                </c:pt>
                <c:pt idx="13">
                  <c:v>52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9C-4871-A054-3D667C479FDA}"/>
            </c:ext>
          </c:extLst>
        </c:ser>
        <c:ser>
          <c:idx val="2"/>
          <c:order val="2"/>
          <c:tx>
            <c:strRef>
              <c:f>'Задание 2.2'!$A$7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2.2'!$B$7:$P$7</c:f>
              <c:numCache>
                <c:formatCode>General</c:formatCode>
                <c:ptCount val="15"/>
                <c:pt idx="0">
                  <c:v>58</c:v>
                </c:pt>
                <c:pt idx="1">
                  <c:v>45</c:v>
                </c:pt>
                <c:pt idx="2">
                  <c:v>34</c:v>
                </c:pt>
                <c:pt idx="3">
                  <c:v>25</c:v>
                </c:pt>
                <c:pt idx="4">
                  <c:v>18</c:v>
                </c:pt>
                <c:pt idx="5">
                  <c:v>13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13</c:v>
                </c:pt>
                <c:pt idx="10">
                  <c:v>18</c:v>
                </c:pt>
                <c:pt idx="11">
                  <c:v>25</c:v>
                </c:pt>
                <c:pt idx="12">
                  <c:v>34</c:v>
                </c:pt>
                <c:pt idx="13">
                  <c:v>45</c:v>
                </c:pt>
                <c:pt idx="1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9C-4871-A054-3D667C479FDA}"/>
            </c:ext>
          </c:extLst>
        </c:ser>
        <c:ser>
          <c:idx val="3"/>
          <c:order val="3"/>
          <c:tx>
            <c:strRef>
              <c:f>'Задание 2.2'!$A$8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2.2'!$B$8:$P$8</c:f>
              <c:numCache>
                <c:formatCode>General</c:formatCode>
                <c:ptCount val="15"/>
                <c:pt idx="0">
                  <c:v>53</c:v>
                </c:pt>
                <c:pt idx="1">
                  <c:v>40</c:v>
                </c:pt>
                <c:pt idx="2">
                  <c:v>29</c:v>
                </c:pt>
                <c:pt idx="3">
                  <c:v>20</c:v>
                </c:pt>
                <c:pt idx="4">
                  <c:v>13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8</c:v>
                </c:pt>
                <c:pt idx="10">
                  <c:v>13</c:v>
                </c:pt>
                <c:pt idx="11">
                  <c:v>20</c:v>
                </c:pt>
                <c:pt idx="12">
                  <c:v>29</c:v>
                </c:pt>
                <c:pt idx="13">
                  <c:v>40</c:v>
                </c:pt>
                <c:pt idx="1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9C-4871-A054-3D667C479FDA}"/>
            </c:ext>
          </c:extLst>
        </c:ser>
        <c:ser>
          <c:idx val="4"/>
          <c:order val="4"/>
          <c:tx>
            <c:strRef>
              <c:f>'Задание 2.2'!$A$9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2.2'!$B$9:$P$9</c:f>
              <c:numCache>
                <c:formatCode>General</c:formatCode>
                <c:ptCount val="15"/>
                <c:pt idx="0">
                  <c:v>50</c:v>
                </c:pt>
                <c:pt idx="1">
                  <c:v>37</c:v>
                </c:pt>
                <c:pt idx="2">
                  <c:v>26</c:v>
                </c:pt>
                <c:pt idx="3">
                  <c:v>17</c:v>
                </c:pt>
                <c:pt idx="4">
                  <c:v>10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10</c:v>
                </c:pt>
                <c:pt idx="11">
                  <c:v>17</c:v>
                </c:pt>
                <c:pt idx="12">
                  <c:v>26</c:v>
                </c:pt>
                <c:pt idx="13">
                  <c:v>37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9C-4871-A054-3D667C479FDA}"/>
            </c:ext>
          </c:extLst>
        </c:ser>
        <c:ser>
          <c:idx val="5"/>
          <c:order val="5"/>
          <c:tx>
            <c:strRef>
              <c:f>'Задание 2.2'!$A$10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2.2'!$B$10:$P$10</c:f>
              <c:numCache>
                <c:formatCode>General</c:formatCode>
                <c:ptCount val="15"/>
                <c:pt idx="0">
                  <c:v>49</c:v>
                </c:pt>
                <c:pt idx="1">
                  <c:v>36</c:v>
                </c:pt>
                <c:pt idx="2">
                  <c:v>25</c:v>
                </c:pt>
                <c:pt idx="3">
                  <c:v>16</c:v>
                </c:pt>
                <c:pt idx="4">
                  <c:v>9</c:v>
                </c:pt>
                <c:pt idx="5">
                  <c:v>4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4</c:v>
                </c:pt>
                <c:pt idx="10">
                  <c:v>9</c:v>
                </c:pt>
                <c:pt idx="11">
                  <c:v>16</c:v>
                </c:pt>
                <c:pt idx="12">
                  <c:v>25</c:v>
                </c:pt>
                <c:pt idx="13">
                  <c:v>36</c:v>
                </c:pt>
                <c:pt idx="14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9C-4871-A054-3D667C479FDA}"/>
            </c:ext>
          </c:extLst>
        </c:ser>
        <c:ser>
          <c:idx val="6"/>
          <c:order val="6"/>
          <c:tx>
            <c:strRef>
              <c:f>'Задание 2.2'!$A$11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2.2'!$B$11:$P$11</c:f>
              <c:numCache>
                <c:formatCode>General</c:formatCode>
                <c:ptCount val="15"/>
                <c:pt idx="0">
                  <c:v>50</c:v>
                </c:pt>
                <c:pt idx="1">
                  <c:v>37</c:v>
                </c:pt>
                <c:pt idx="2">
                  <c:v>26</c:v>
                </c:pt>
                <c:pt idx="3">
                  <c:v>17</c:v>
                </c:pt>
                <c:pt idx="4">
                  <c:v>10</c:v>
                </c:pt>
                <c:pt idx="5">
                  <c:v>5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10</c:v>
                </c:pt>
                <c:pt idx="11">
                  <c:v>17</c:v>
                </c:pt>
                <c:pt idx="12">
                  <c:v>26</c:v>
                </c:pt>
                <c:pt idx="13">
                  <c:v>37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9C-4871-A054-3D667C479FDA}"/>
            </c:ext>
          </c:extLst>
        </c:ser>
        <c:ser>
          <c:idx val="7"/>
          <c:order val="7"/>
          <c:tx>
            <c:strRef>
              <c:f>'Задание 2.2'!$A$12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2.2'!$B$12:$P$12</c:f>
              <c:numCache>
                <c:formatCode>General</c:formatCode>
                <c:ptCount val="15"/>
                <c:pt idx="0">
                  <c:v>53</c:v>
                </c:pt>
                <c:pt idx="1">
                  <c:v>40</c:v>
                </c:pt>
                <c:pt idx="2">
                  <c:v>29</c:v>
                </c:pt>
                <c:pt idx="3">
                  <c:v>20</c:v>
                </c:pt>
                <c:pt idx="4">
                  <c:v>13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8</c:v>
                </c:pt>
                <c:pt idx="10">
                  <c:v>13</c:v>
                </c:pt>
                <c:pt idx="11">
                  <c:v>20</c:v>
                </c:pt>
                <c:pt idx="12">
                  <c:v>29</c:v>
                </c:pt>
                <c:pt idx="13">
                  <c:v>40</c:v>
                </c:pt>
                <c:pt idx="14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9C-4871-A054-3D667C479FDA}"/>
            </c:ext>
          </c:extLst>
        </c:ser>
        <c:ser>
          <c:idx val="8"/>
          <c:order val="8"/>
          <c:tx>
            <c:strRef>
              <c:f>'Задание 2.2'!$A$13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2.2'!$B$13:$P$13</c:f>
              <c:numCache>
                <c:formatCode>General</c:formatCode>
                <c:ptCount val="15"/>
                <c:pt idx="0">
                  <c:v>58</c:v>
                </c:pt>
                <c:pt idx="1">
                  <c:v>45</c:v>
                </c:pt>
                <c:pt idx="2">
                  <c:v>34</c:v>
                </c:pt>
                <c:pt idx="3">
                  <c:v>25</c:v>
                </c:pt>
                <c:pt idx="4">
                  <c:v>18</c:v>
                </c:pt>
                <c:pt idx="5">
                  <c:v>13</c:v>
                </c:pt>
                <c:pt idx="6">
                  <c:v>10</c:v>
                </c:pt>
                <c:pt idx="7">
                  <c:v>9</c:v>
                </c:pt>
                <c:pt idx="8">
                  <c:v>10</c:v>
                </c:pt>
                <c:pt idx="9">
                  <c:v>13</c:v>
                </c:pt>
                <c:pt idx="10">
                  <c:v>18</c:v>
                </c:pt>
                <c:pt idx="11">
                  <c:v>25</c:v>
                </c:pt>
                <c:pt idx="12">
                  <c:v>34</c:v>
                </c:pt>
                <c:pt idx="13">
                  <c:v>45</c:v>
                </c:pt>
                <c:pt idx="14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9C-4871-A054-3D667C479FDA}"/>
            </c:ext>
          </c:extLst>
        </c:ser>
        <c:ser>
          <c:idx val="9"/>
          <c:order val="9"/>
          <c:tx>
            <c:strRef>
              <c:f>'Задание 2.2'!$A$14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2.2'!$B$14:$P$14</c:f>
              <c:numCache>
                <c:formatCode>General</c:formatCode>
                <c:ptCount val="15"/>
                <c:pt idx="0">
                  <c:v>65</c:v>
                </c:pt>
                <c:pt idx="1">
                  <c:v>52</c:v>
                </c:pt>
                <c:pt idx="2">
                  <c:v>41</c:v>
                </c:pt>
                <c:pt idx="3">
                  <c:v>32</c:v>
                </c:pt>
                <c:pt idx="4">
                  <c:v>25</c:v>
                </c:pt>
                <c:pt idx="5">
                  <c:v>20</c:v>
                </c:pt>
                <c:pt idx="6">
                  <c:v>17</c:v>
                </c:pt>
                <c:pt idx="7">
                  <c:v>16</c:v>
                </c:pt>
                <c:pt idx="8">
                  <c:v>17</c:v>
                </c:pt>
                <c:pt idx="9">
                  <c:v>20</c:v>
                </c:pt>
                <c:pt idx="10">
                  <c:v>25</c:v>
                </c:pt>
                <c:pt idx="11">
                  <c:v>32</c:v>
                </c:pt>
                <c:pt idx="12">
                  <c:v>41</c:v>
                </c:pt>
                <c:pt idx="13">
                  <c:v>52</c:v>
                </c:pt>
                <c:pt idx="1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9C-4871-A054-3D667C479FDA}"/>
            </c:ext>
          </c:extLst>
        </c:ser>
        <c:ser>
          <c:idx val="10"/>
          <c:order val="10"/>
          <c:tx>
            <c:strRef>
              <c:f>'Задание 2.2'!$A$15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2.2'!$B$4:$P$4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2.2'!$B$15:$P$15</c:f>
              <c:numCache>
                <c:formatCode>General</c:formatCode>
                <c:ptCount val="15"/>
                <c:pt idx="0">
                  <c:v>74</c:v>
                </c:pt>
                <c:pt idx="1">
                  <c:v>61</c:v>
                </c:pt>
                <c:pt idx="2">
                  <c:v>50</c:v>
                </c:pt>
                <c:pt idx="3">
                  <c:v>41</c:v>
                </c:pt>
                <c:pt idx="4">
                  <c:v>34</c:v>
                </c:pt>
                <c:pt idx="5">
                  <c:v>29</c:v>
                </c:pt>
                <c:pt idx="6">
                  <c:v>26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34</c:v>
                </c:pt>
                <c:pt idx="11">
                  <c:v>41</c:v>
                </c:pt>
                <c:pt idx="12">
                  <c:v>50</c:v>
                </c:pt>
                <c:pt idx="13">
                  <c:v>61</c:v>
                </c:pt>
                <c:pt idx="1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9C-4871-A054-3D667C479FDA}"/>
            </c:ext>
          </c:extLst>
        </c:ser>
        <c:bandFmts>
          <c:bandFmt>
            <c:idx val="0"/>
            <c:spPr>
              <a:solidFill>
                <a:schemeClr val="accent5">
                  <a:lumMod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5">
                  <a:lumMod val="75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lumMod val="75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5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03764960"/>
        <c:axId val="1903765376"/>
        <c:axId val="1819414784"/>
      </c:surface3DChart>
      <c:catAx>
        <c:axId val="19037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765376"/>
        <c:crosses val="autoZero"/>
        <c:auto val="1"/>
        <c:lblAlgn val="ctr"/>
        <c:lblOffset val="100"/>
        <c:noMultiLvlLbl val="0"/>
      </c:catAx>
      <c:valAx>
        <c:axId val="19037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764960"/>
        <c:crosses val="autoZero"/>
        <c:crossBetween val="midCat"/>
      </c:valAx>
      <c:serAx>
        <c:axId val="1819414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76537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Эллиптический</a:t>
            </a:r>
            <a:r>
              <a:rPr lang="ru-RU" baseline="0"/>
              <a:t> параболоид</a:t>
            </a:r>
            <a:endParaRPr lang="ru-RU"/>
          </a:p>
        </c:rich>
      </c:tx>
      <c:layout>
        <c:manualLayout>
          <c:xMode val="edge"/>
          <c:yMode val="edge"/>
          <c:x val="0.22374403199600049"/>
          <c:y val="2.7777691208529218E-2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4124484439446"/>
          <c:y val="0.17266656486123036"/>
          <c:w val="0.66073940757405325"/>
          <c:h val="0.61993160856225282"/>
        </c:manualLayout>
      </c:layout>
      <c:surface3DChart>
        <c:wireframe val="0"/>
        <c:ser>
          <c:idx val="0"/>
          <c:order val="0"/>
          <c:tx>
            <c:strRef>
              <c:f>'Задание 2.2 (2)'!$A$5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(2)'!$B$5:$P$5</c:f>
              <c:numCache>
                <c:formatCode>General</c:formatCode>
                <c:ptCount val="15"/>
                <c:pt idx="0">
                  <c:v>1.9633029462280354</c:v>
                </c:pt>
                <c:pt idx="1">
                  <c:v>1.4433029462280353</c:v>
                </c:pt>
                <c:pt idx="2">
                  <c:v>1.0033029462280354</c:v>
                </c:pt>
                <c:pt idx="3">
                  <c:v>0.64330294622803541</c:v>
                </c:pt>
                <c:pt idx="4">
                  <c:v>0.36330294622803538</c:v>
                </c:pt>
                <c:pt idx="5">
                  <c:v>0.1633029462280354</c:v>
                </c:pt>
                <c:pt idx="6">
                  <c:v>4.3302946228035405E-2</c:v>
                </c:pt>
                <c:pt idx="7">
                  <c:v>3.3029462280354076E-3</c:v>
                </c:pt>
                <c:pt idx="8">
                  <c:v>4.3302946228035405E-2</c:v>
                </c:pt>
                <c:pt idx="9">
                  <c:v>0.1633029462280354</c:v>
                </c:pt>
                <c:pt idx="10">
                  <c:v>0.36330294622803538</c:v>
                </c:pt>
                <c:pt idx="11">
                  <c:v>0.64330294622803541</c:v>
                </c:pt>
                <c:pt idx="12">
                  <c:v>1.0033029462280354</c:v>
                </c:pt>
                <c:pt idx="13">
                  <c:v>1.4433029462280353</c:v>
                </c:pt>
                <c:pt idx="14">
                  <c:v>1.9633029462280354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FD-4258-BC18-41EEB19512E8}"/>
            </c:ext>
          </c:extLst>
        </c:ser>
        <c:ser>
          <c:idx val="1"/>
          <c:order val="1"/>
          <c:tx>
            <c:strRef>
              <c:f>'Задание 2.2 (2)'!$A$6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(2)'!$B$6:$P$6</c:f>
              <c:numCache>
                <c:formatCode>General</c:formatCode>
                <c:ptCount val="15"/>
                <c:pt idx="0">
                  <c:v>1.9621138855859426</c:v>
                </c:pt>
                <c:pt idx="1">
                  <c:v>1.4421138855859426</c:v>
                </c:pt>
                <c:pt idx="2">
                  <c:v>1.0021138855859426</c:v>
                </c:pt>
                <c:pt idx="3">
                  <c:v>0.64211388558594262</c:v>
                </c:pt>
                <c:pt idx="4">
                  <c:v>0.36211388558594265</c:v>
                </c:pt>
                <c:pt idx="5">
                  <c:v>0.16211388558594267</c:v>
                </c:pt>
                <c:pt idx="6">
                  <c:v>4.2113885585942659E-2</c:v>
                </c:pt>
                <c:pt idx="7">
                  <c:v>2.113885585942661E-3</c:v>
                </c:pt>
                <c:pt idx="8">
                  <c:v>4.2113885585942659E-2</c:v>
                </c:pt>
                <c:pt idx="9">
                  <c:v>0.16211388558594267</c:v>
                </c:pt>
                <c:pt idx="10">
                  <c:v>0.36211388558594265</c:v>
                </c:pt>
                <c:pt idx="11">
                  <c:v>0.64211388558594262</c:v>
                </c:pt>
                <c:pt idx="12">
                  <c:v>1.0021138855859426</c:v>
                </c:pt>
                <c:pt idx="13">
                  <c:v>1.4421138855859426</c:v>
                </c:pt>
                <c:pt idx="14">
                  <c:v>1.9621138855859426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FD-4258-BC18-41EEB19512E8}"/>
            </c:ext>
          </c:extLst>
        </c:ser>
        <c:ser>
          <c:idx val="2"/>
          <c:order val="2"/>
          <c:tx>
            <c:strRef>
              <c:f>'Задание 2.2 (2)'!$A$7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(2)'!$B$7:$P$7</c:f>
              <c:numCache>
                <c:formatCode>General</c:formatCode>
                <c:ptCount val="15"/>
                <c:pt idx="0">
                  <c:v>1.9611890606420928</c:v>
                </c:pt>
                <c:pt idx="1">
                  <c:v>1.4411890606420927</c:v>
                </c:pt>
                <c:pt idx="2">
                  <c:v>1.0011890606420928</c:v>
                </c:pt>
                <c:pt idx="3">
                  <c:v>0.6411890606420928</c:v>
                </c:pt>
                <c:pt idx="4">
                  <c:v>0.36118906064209272</c:v>
                </c:pt>
                <c:pt idx="5">
                  <c:v>0.16118906064209276</c:v>
                </c:pt>
                <c:pt idx="6">
                  <c:v>4.1189060642092747E-2</c:v>
                </c:pt>
                <c:pt idx="7">
                  <c:v>1.1890606420927466E-3</c:v>
                </c:pt>
                <c:pt idx="8">
                  <c:v>4.1189060642092747E-2</c:v>
                </c:pt>
                <c:pt idx="9">
                  <c:v>0.16118906064209276</c:v>
                </c:pt>
                <c:pt idx="10">
                  <c:v>0.36118906064209272</c:v>
                </c:pt>
                <c:pt idx="11">
                  <c:v>0.6411890606420928</c:v>
                </c:pt>
                <c:pt idx="12">
                  <c:v>1.0011890606420928</c:v>
                </c:pt>
                <c:pt idx="13">
                  <c:v>1.4411890606420927</c:v>
                </c:pt>
                <c:pt idx="14">
                  <c:v>1.9611890606420928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FD-4258-BC18-41EEB19512E8}"/>
            </c:ext>
          </c:extLst>
        </c:ser>
        <c:ser>
          <c:idx val="3"/>
          <c:order val="3"/>
          <c:tx>
            <c:strRef>
              <c:f>'Задание 2.2 (2)'!$A$8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4"/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(2)'!$B$8:$P$8</c:f>
              <c:numCache>
                <c:formatCode>General</c:formatCode>
                <c:ptCount val="15"/>
                <c:pt idx="0">
                  <c:v>1.9605284713964857</c:v>
                </c:pt>
                <c:pt idx="1">
                  <c:v>1.4405284713964857</c:v>
                </c:pt>
                <c:pt idx="2">
                  <c:v>1.0005284713964857</c:v>
                </c:pt>
                <c:pt idx="3">
                  <c:v>0.64052847139648572</c:v>
                </c:pt>
                <c:pt idx="4">
                  <c:v>0.36052847139648564</c:v>
                </c:pt>
                <c:pt idx="5">
                  <c:v>0.16052847139648566</c:v>
                </c:pt>
                <c:pt idx="6">
                  <c:v>4.0528471396485667E-2</c:v>
                </c:pt>
                <c:pt idx="7">
                  <c:v>5.2847139648566524E-4</c:v>
                </c:pt>
                <c:pt idx="8">
                  <c:v>4.0528471396485667E-2</c:v>
                </c:pt>
                <c:pt idx="9">
                  <c:v>0.16052847139648566</c:v>
                </c:pt>
                <c:pt idx="10">
                  <c:v>0.36052847139648564</c:v>
                </c:pt>
                <c:pt idx="11">
                  <c:v>0.64052847139648572</c:v>
                </c:pt>
                <c:pt idx="12">
                  <c:v>1.0005284713964857</c:v>
                </c:pt>
                <c:pt idx="13">
                  <c:v>1.4405284713964857</c:v>
                </c:pt>
                <c:pt idx="14">
                  <c:v>1.9605284713964857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FD-4258-BC18-41EEB19512E8}"/>
            </c:ext>
          </c:extLst>
        </c:ser>
        <c:ser>
          <c:idx val="4"/>
          <c:order val="4"/>
          <c:tx>
            <c:strRef>
              <c:f>'Задание 2.2 (2)'!$A$9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5"/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(2)'!$B$9:$P$9</c:f>
              <c:numCache>
                <c:formatCode>General</c:formatCode>
                <c:ptCount val="15"/>
                <c:pt idx="0">
                  <c:v>1.9601321178491213</c:v>
                </c:pt>
                <c:pt idx="1">
                  <c:v>1.4401321178491213</c:v>
                </c:pt>
                <c:pt idx="2">
                  <c:v>1.0001321178491214</c:v>
                </c:pt>
                <c:pt idx="3">
                  <c:v>0.64013211784912138</c:v>
                </c:pt>
                <c:pt idx="4">
                  <c:v>0.36013211784912141</c:v>
                </c:pt>
                <c:pt idx="5">
                  <c:v>0.16013211784912143</c:v>
                </c:pt>
                <c:pt idx="6">
                  <c:v>4.0132117849121414E-2</c:v>
                </c:pt>
                <c:pt idx="7">
                  <c:v>1.3211784912141631E-4</c:v>
                </c:pt>
                <c:pt idx="8">
                  <c:v>4.0132117849121414E-2</c:v>
                </c:pt>
                <c:pt idx="9">
                  <c:v>0.16013211784912143</c:v>
                </c:pt>
                <c:pt idx="10">
                  <c:v>0.36013211784912141</c:v>
                </c:pt>
                <c:pt idx="11">
                  <c:v>0.64013211784912138</c:v>
                </c:pt>
                <c:pt idx="12">
                  <c:v>1.0001321178491214</c:v>
                </c:pt>
                <c:pt idx="13">
                  <c:v>1.4401321178491213</c:v>
                </c:pt>
                <c:pt idx="14">
                  <c:v>1.9601321178491213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FD-4258-BC18-41EEB19512E8}"/>
            </c:ext>
          </c:extLst>
        </c:ser>
        <c:ser>
          <c:idx val="5"/>
          <c:order val="5"/>
          <c:tx>
            <c:strRef>
              <c:f>'Задание 2.2 (2)'!$A$10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6"/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(2)'!$B$10:$P$10</c:f>
              <c:numCache>
                <c:formatCode>General</c:formatCode>
                <c:ptCount val="15"/>
                <c:pt idx="0">
                  <c:v>1.96</c:v>
                </c:pt>
                <c:pt idx="1">
                  <c:v>1.44</c:v>
                </c:pt>
                <c:pt idx="2">
                  <c:v>1</c:v>
                </c:pt>
                <c:pt idx="3">
                  <c:v>0.64</c:v>
                </c:pt>
                <c:pt idx="4">
                  <c:v>0.36</c:v>
                </c:pt>
                <c:pt idx="5">
                  <c:v>0.16</c:v>
                </c:pt>
                <c:pt idx="6">
                  <c:v>0.04</c:v>
                </c:pt>
                <c:pt idx="7">
                  <c:v>0</c:v>
                </c:pt>
                <c:pt idx="8">
                  <c:v>0.04</c:v>
                </c:pt>
                <c:pt idx="9">
                  <c:v>0.16</c:v>
                </c:pt>
                <c:pt idx="10">
                  <c:v>0.36</c:v>
                </c:pt>
                <c:pt idx="11">
                  <c:v>0.64</c:v>
                </c:pt>
                <c:pt idx="12">
                  <c:v>1</c:v>
                </c:pt>
                <c:pt idx="13">
                  <c:v>1.44</c:v>
                </c:pt>
                <c:pt idx="14">
                  <c:v>1.96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FD-4258-BC18-41EEB19512E8}"/>
            </c:ext>
          </c:extLst>
        </c:ser>
        <c:ser>
          <c:idx val="6"/>
          <c:order val="6"/>
          <c:tx>
            <c:strRef>
              <c:f>'Задание 2.2 (2)'!$A$11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(2)'!$B$11:$P$11</c:f>
              <c:numCache>
                <c:formatCode>General</c:formatCode>
                <c:ptCount val="15"/>
                <c:pt idx="0">
                  <c:v>1.9601321178491213</c:v>
                </c:pt>
                <c:pt idx="1">
                  <c:v>1.4401321178491213</c:v>
                </c:pt>
                <c:pt idx="2">
                  <c:v>1.0001321178491214</c:v>
                </c:pt>
                <c:pt idx="3">
                  <c:v>0.64013211784912138</c:v>
                </c:pt>
                <c:pt idx="4">
                  <c:v>0.36013211784912141</c:v>
                </c:pt>
                <c:pt idx="5">
                  <c:v>0.16013211784912143</c:v>
                </c:pt>
                <c:pt idx="6">
                  <c:v>4.0132117849121414E-2</c:v>
                </c:pt>
                <c:pt idx="7">
                  <c:v>1.3211784912141631E-4</c:v>
                </c:pt>
                <c:pt idx="8">
                  <c:v>4.0132117849121414E-2</c:v>
                </c:pt>
                <c:pt idx="9">
                  <c:v>0.16013211784912143</c:v>
                </c:pt>
                <c:pt idx="10">
                  <c:v>0.36013211784912141</c:v>
                </c:pt>
                <c:pt idx="11">
                  <c:v>0.64013211784912138</c:v>
                </c:pt>
                <c:pt idx="12">
                  <c:v>1.0001321178491214</c:v>
                </c:pt>
                <c:pt idx="13">
                  <c:v>1.4401321178491213</c:v>
                </c:pt>
                <c:pt idx="14">
                  <c:v>1.9601321178491213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FD-4258-BC18-41EEB19512E8}"/>
            </c:ext>
          </c:extLst>
        </c:ser>
        <c:ser>
          <c:idx val="7"/>
          <c:order val="7"/>
          <c:tx>
            <c:strRef>
              <c:f>'Задание 2.2 (2)'!$A$12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(2)'!$B$12:$P$12</c:f>
              <c:numCache>
                <c:formatCode>General</c:formatCode>
                <c:ptCount val="15"/>
                <c:pt idx="0">
                  <c:v>1.9605284713964857</c:v>
                </c:pt>
                <c:pt idx="1">
                  <c:v>1.4405284713964857</c:v>
                </c:pt>
                <c:pt idx="2">
                  <c:v>1.0005284713964857</c:v>
                </c:pt>
                <c:pt idx="3">
                  <c:v>0.64052847139648572</c:v>
                </c:pt>
                <c:pt idx="4">
                  <c:v>0.36052847139648564</c:v>
                </c:pt>
                <c:pt idx="5">
                  <c:v>0.16052847139648566</c:v>
                </c:pt>
                <c:pt idx="6">
                  <c:v>4.0528471396485667E-2</c:v>
                </c:pt>
                <c:pt idx="7">
                  <c:v>5.2847139648566524E-4</c:v>
                </c:pt>
                <c:pt idx="8">
                  <c:v>4.0528471396485667E-2</c:v>
                </c:pt>
                <c:pt idx="9">
                  <c:v>0.16052847139648566</c:v>
                </c:pt>
                <c:pt idx="10">
                  <c:v>0.36052847139648564</c:v>
                </c:pt>
                <c:pt idx="11">
                  <c:v>0.64052847139648572</c:v>
                </c:pt>
                <c:pt idx="12">
                  <c:v>1.0005284713964857</c:v>
                </c:pt>
                <c:pt idx="13">
                  <c:v>1.4405284713964857</c:v>
                </c:pt>
                <c:pt idx="14">
                  <c:v>1.9605284713964857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FD-4258-BC18-41EEB19512E8}"/>
            </c:ext>
          </c:extLst>
        </c:ser>
        <c:ser>
          <c:idx val="8"/>
          <c:order val="8"/>
          <c:tx>
            <c:strRef>
              <c:f>'Задание 2.2 (2)'!$A$13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(2)'!$B$13:$P$13</c:f>
              <c:numCache>
                <c:formatCode>General</c:formatCode>
                <c:ptCount val="15"/>
                <c:pt idx="0">
                  <c:v>1.9611890606420928</c:v>
                </c:pt>
                <c:pt idx="1">
                  <c:v>1.4411890606420927</c:v>
                </c:pt>
                <c:pt idx="2">
                  <c:v>1.0011890606420928</c:v>
                </c:pt>
                <c:pt idx="3">
                  <c:v>0.6411890606420928</c:v>
                </c:pt>
                <c:pt idx="4">
                  <c:v>0.36118906064209272</c:v>
                </c:pt>
                <c:pt idx="5">
                  <c:v>0.16118906064209276</c:v>
                </c:pt>
                <c:pt idx="6">
                  <c:v>4.1189060642092747E-2</c:v>
                </c:pt>
                <c:pt idx="7">
                  <c:v>1.1890606420927466E-3</c:v>
                </c:pt>
                <c:pt idx="8">
                  <c:v>4.1189060642092747E-2</c:v>
                </c:pt>
                <c:pt idx="9">
                  <c:v>0.16118906064209276</c:v>
                </c:pt>
                <c:pt idx="10">
                  <c:v>0.36118906064209272</c:v>
                </c:pt>
                <c:pt idx="11">
                  <c:v>0.6411890606420928</c:v>
                </c:pt>
                <c:pt idx="12">
                  <c:v>1.0011890606420928</c:v>
                </c:pt>
                <c:pt idx="13">
                  <c:v>1.4411890606420927</c:v>
                </c:pt>
                <c:pt idx="14">
                  <c:v>1.9611890606420928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FD-4258-BC18-41EEB19512E8}"/>
            </c:ext>
          </c:extLst>
        </c:ser>
        <c:ser>
          <c:idx val="9"/>
          <c:order val="9"/>
          <c:tx>
            <c:strRef>
              <c:f>'Задание 2.2 (2)'!$A$14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(2)'!$B$14:$P$14</c:f>
              <c:numCache>
                <c:formatCode>General</c:formatCode>
                <c:ptCount val="15"/>
                <c:pt idx="0">
                  <c:v>1.9621138855859426</c:v>
                </c:pt>
                <c:pt idx="1">
                  <c:v>1.4421138855859426</c:v>
                </c:pt>
                <c:pt idx="2">
                  <c:v>1.0021138855859426</c:v>
                </c:pt>
                <c:pt idx="3">
                  <c:v>0.64211388558594262</c:v>
                </c:pt>
                <c:pt idx="4">
                  <c:v>0.36211388558594265</c:v>
                </c:pt>
                <c:pt idx="5">
                  <c:v>0.16211388558594267</c:v>
                </c:pt>
                <c:pt idx="6">
                  <c:v>4.2113885585942659E-2</c:v>
                </c:pt>
                <c:pt idx="7">
                  <c:v>2.113885585942661E-3</c:v>
                </c:pt>
                <c:pt idx="8">
                  <c:v>4.2113885585942659E-2</c:v>
                </c:pt>
                <c:pt idx="9">
                  <c:v>0.16211388558594267</c:v>
                </c:pt>
                <c:pt idx="10">
                  <c:v>0.36211388558594265</c:v>
                </c:pt>
                <c:pt idx="11">
                  <c:v>0.64211388558594262</c:v>
                </c:pt>
                <c:pt idx="12">
                  <c:v>1.0021138855859426</c:v>
                </c:pt>
                <c:pt idx="13">
                  <c:v>1.4421138855859426</c:v>
                </c:pt>
                <c:pt idx="14">
                  <c:v>1.9621138855859426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3FD-4258-BC18-41EEB19512E8}"/>
            </c:ext>
          </c:extLst>
        </c:ser>
        <c:ser>
          <c:idx val="10"/>
          <c:order val="10"/>
          <c:tx>
            <c:strRef>
              <c:f>'Задание 2.2 (2)'!$A$15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/>
            <a:effectLst/>
            <a:sp3d/>
          </c:spPr>
          <c:cat>
            <c:numRef>
              <c:f>'Задание 2.2 (2)'!$B$4:$P$4</c:f>
              <c:numCache>
                <c:formatCode>General</c:formatCode>
                <c:ptCount val="1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</c:numCache>
            </c:numRef>
          </c:cat>
          <c:val>
            <c:numRef>
              <c:f>'Задание 2.2 (2)'!$B$15:$P$15</c:f>
              <c:numCache>
                <c:formatCode>General</c:formatCode>
                <c:ptCount val="15"/>
                <c:pt idx="0">
                  <c:v>1.9633029462280354</c:v>
                </c:pt>
                <c:pt idx="1">
                  <c:v>1.4433029462280353</c:v>
                </c:pt>
                <c:pt idx="2">
                  <c:v>1.0033029462280354</c:v>
                </c:pt>
                <c:pt idx="3">
                  <c:v>0.64330294622803541</c:v>
                </c:pt>
                <c:pt idx="4">
                  <c:v>0.36330294622803538</c:v>
                </c:pt>
                <c:pt idx="5">
                  <c:v>0.1633029462280354</c:v>
                </c:pt>
                <c:pt idx="6">
                  <c:v>4.3302946228035405E-2</c:v>
                </c:pt>
                <c:pt idx="7">
                  <c:v>3.3029462280354076E-3</c:v>
                </c:pt>
                <c:pt idx="8">
                  <c:v>4.3302946228035405E-2</c:v>
                </c:pt>
                <c:pt idx="9">
                  <c:v>0.1633029462280354</c:v>
                </c:pt>
                <c:pt idx="10">
                  <c:v>0.36330294622803538</c:v>
                </c:pt>
                <c:pt idx="11">
                  <c:v>0.64330294622803541</c:v>
                </c:pt>
                <c:pt idx="12">
                  <c:v>1.0033029462280354</c:v>
                </c:pt>
                <c:pt idx="13">
                  <c:v>1.4433029462280353</c:v>
                </c:pt>
                <c:pt idx="14">
                  <c:v>1.9633029462280354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3FD-4258-BC18-41EEB19512E8}"/>
            </c:ext>
          </c:extLst>
        </c:ser>
        <c:bandFmts>
          <c:bandFmt>
            <c:idx val="0"/>
            <c:spPr>
              <a:solidFill>
                <a:schemeClr val="accent5">
                  <a:lumMod val="50000"/>
                </a:schemeClr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5">
                  <a:lumMod val="75000"/>
                </a:schemeClr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1">
                  <a:lumMod val="75000"/>
                </a:schemeClr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5">
                  <a:lumMod val="60000"/>
                  <a:lumOff val="40000"/>
                </a:schemeClr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03764960"/>
        <c:axId val="1903765376"/>
        <c:axId val="1819414784"/>
      </c:surface3DChart>
      <c:catAx>
        <c:axId val="1903764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765376"/>
        <c:crosses val="autoZero"/>
        <c:auto val="1"/>
        <c:lblAlgn val="ctr"/>
        <c:lblOffset val="100"/>
        <c:noMultiLvlLbl val="0"/>
      </c:catAx>
      <c:valAx>
        <c:axId val="190376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764960"/>
        <c:crosses val="autoZero"/>
        <c:crossBetween val="midCat"/>
      </c:valAx>
      <c:serAx>
        <c:axId val="181941478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03765376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</xdr:row>
      <xdr:rowOff>42862</xdr:rowOff>
    </xdr:from>
    <xdr:to>
      <xdr:col>8</xdr:col>
      <xdr:colOff>323850</xdr:colOff>
      <xdr:row>15</xdr:row>
      <xdr:rowOff>185737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322066A-0D5E-FD03-BFE7-5F2944711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18</xdr:row>
      <xdr:rowOff>42862</xdr:rowOff>
    </xdr:from>
    <xdr:to>
      <xdr:col>8</xdr:col>
      <xdr:colOff>276225</xdr:colOff>
      <xdr:row>31</xdr:row>
      <xdr:rowOff>104775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C2DBA8A-B006-279B-6194-5F210D42C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34</xdr:row>
      <xdr:rowOff>33337</xdr:rowOff>
    </xdr:from>
    <xdr:to>
      <xdr:col>8</xdr:col>
      <xdr:colOff>323850</xdr:colOff>
      <xdr:row>47</xdr:row>
      <xdr:rowOff>176212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1F6F03E-9BD5-0E85-7A13-8A6AF2156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14287</xdr:colOff>
      <xdr:row>50</xdr:row>
      <xdr:rowOff>61912</xdr:rowOff>
    </xdr:from>
    <xdr:to>
      <xdr:col>8</xdr:col>
      <xdr:colOff>319087</xdr:colOff>
      <xdr:row>64</xdr:row>
      <xdr:rowOff>4762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A7BE101-2AFC-A6CB-3BF5-010FF76E5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42862</xdr:rowOff>
    </xdr:from>
    <xdr:to>
      <xdr:col>7</xdr:col>
      <xdr:colOff>361950</xdr:colOff>
      <xdr:row>28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04A442D-D759-0E74-A5B2-29BA61215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42862</xdr:rowOff>
    </xdr:from>
    <xdr:to>
      <xdr:col>7</xdr:col>
      <xdr:colOff>361950</xdr:colOff>
      <xdr:row>28</xdr:row>
      <xdr:rowOff>9525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9762D9F-1DE3-47E2-88D2-FEF1542F2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28577</xdr:colOff>
      <xdr:row>16</xdr:row>
      <xdr:rowOff>28575</xdr:rowOff>
    </xdr:from>
    <xdr:ext cx="4219574" cy="1524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6C9905-C232-9377-FFA3-9274FFB68EEB}"/>
            </a:ext>
          </a:extLst>
        </xdr:cNvPr>
        <xdr:cNvSpPr txBox="1"/>
      </xdr:nvSpPr>
      <xdr:spPr>
        <a:xfrm>
          <a:off x="4905377" y="3228975"/>
          <a:ext cx="4219574" cy="1524000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Вывод:</a:t>
          </a:r>
          <a:endParaRPr 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Если значения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и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отрицательны, то график остаётся без изменений.</a:t>
          </a:r>
          <a:endParaRPr 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Когда значение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становится больше значения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b,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одна из парабол становится пологой, а другая более крутой. </a:t>
          </a:r>
          <a:endParaRPr lang="en-US" sz="11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Когда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много больше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b,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то одна из парабол становится прямой. </a:t>
          </a:r>
        </a:p>
        <a:p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В том случае, когда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больше и много больше </a:t>
          </a:r>
          <a:r>
            <a:rPr lang="en-US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a, </a:t>
          </a:r>
          <a:r>
            <a:rPr lang="ru-RU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противоположные стороны парабол изменяются по тем же правилам</a:t>
          </a: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Normal="100" workbookViewId="0">
      <selection activeCell="F6" sqref="F6"/>
    </sheetView>
  </sheetViews>
  <sheetFormatPr defaultRowHeight="15.75" x14ac:dyDescent="0.25"/>
  <cols>
    <col min="1" max="1" width="17.140625" style="1" customWidth="1"/>
    <col min="2" max="16384" width="9.140625" style="1"/>
  </cols>
  <sheetData>
    <row r="1" spans="1:2" x14ac:dyDescent="0.25">
      <c r="A1" s="1" t="s">
        <v>0</v>
      </c>
      <c r="B1" s="1">
        <v>7</v>
      </c>
    </row>
    <row r="2" spans="1:2" x14ac:dyDescent="0.25">
      <c r="A2" s="1" t="s">
        <v>1</v>
      </c>
      <c r="B2" s="1">
        <v>8</v>
      </c>
    </row>
    <row r="3" spans="1:2" x14ac:dyDescent="0.25">
      <c r="A3" s="1" t="s">
        <v>2</v>
      </c>
      <c r="B3" s="1">
        <v>2004</v>
      </c>
    </row>
    <row r="4" spans="1:2" x14ac:dyDescent="0.25">
      <c r="A4" s="1" t="s">
        <v>4</v>
      </c>
      <c r="B4" s="1">
        <v>6</v>
      </c>
    </row>
    <row r="5" spans="1:2" x14ac:dyDescent="0.25">
      <c r="A5" s="1" t="s">
        <v>3</v>
      </c>
      <c r="B5" s="1">
        <v>72</v>
      </c>
    </row>
    <row r="6" spans="1:2" x14ac:dyDescent="0.25">
      <c r="A6" s="1" t="s">
        <v>5</v>
      </c>
      <c r="B6" s="1">
        <v>53</v>
      </c>
    </row>
    <row r="7" spans="1:2" x14ac:dyDescent="0.25">
      <c r="A7" s="1" t="s">
        <v>6</v>
      </c>
      <c r="B7" s="1">
        <v>5</v>
      </c>
    </row>
  </sheetData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 
группа 2.2
07.08.2004
вариант 53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9128-269E-46A7-BF11-5D403F169EEE}">
  <dimension ref="A1:N56"/>
  <sheetViews>
    <sheetView topLeftCell="A16" zoomScaleNormal="100" workbookViewId="0">
      <selection activeCell="L7" sqref="L7"/>
    </sheetView>
  </sheetViews>
  <sheetFormatPr defaultRowHeight="15.75" x14ac:dyDescent="0.25"/>
  <cols>
    <col min="1" max="1" width="18.28515625" style="1" customWidth="1"/>
    <col min="2" max="16384" width="9.140625" style="1"/>
  </cols>
  <sheetData>
    <row r="1" spans="1:8" x14ac:dyDescent="0.25">
      <c r="A1" s="2" t="s">
        <v>7</v>
      </c>
      <c r="B1" s="2">
        <v>-3</v>
      </c>
      <c r="C1" s="2">
        <v>-2</v>
      </c>
      <c r="D1" s="2">
        <v>-1</v>
      </c>
      <c r="E1" s="2">
        <v>0</v>
      </c>
      <c r="F1" s="2">
        <v>1</v>
      </c>
      <c r="G1" s="2">
        <v>2</v>
      </c>
      <c r="H1" s="2">
        <v>3</v>
      </c>
    </row>
    <row r="2" spans="1:8" x14ac:dyDescent="0.25">
      <c r="A2" s="3" t="s">
        <v>8</v>
      </c>
      <c r="B2" s="3">
        <f>ABS(('Задание 2.0'!$B$6/'Задание 2.0'!$B$1)+ABS(B$1))</f>
        <v>10.571428571428571</v>
      </c>
      <c r="C2" s="3">
        <f>ABS(('Задание 2.0'!$B$6/'Задание 2.0'!$B$1)+ABS(C$1))</f>
        <v>9.5714285714285712</v>
      </c>
      <c r="D2" s="3">
        <f>ABS(('Задание 2.0'!$B$6/'Задание 2.0'!$B$1)+ABS(D$1))</f>
        <v>8.5714285714285712</v>
      </c>
      <c r="E2" s="3">
        <f>ABS(('Задание 2.0'!$B$6/'Задание 2.0'!$B$1)+ABS(E$1))</f>
        <v>7.5714285714285712</v>
      </c>
      <c r="F2" s="3">
        <f>ABS(('Задание 2.0'!$B$6/'Задание 2.0'!$B$1)+ABS(F$1))</f>
        <v>8.5714285714285712</v>
      </c>
      <c r="G2" s="3">
        <f>ABS(('Задание 2.0'!$B$6/'Задание 2.0'!$B$1)+ABS(G$1))</f>
        <v>9.5714285714285712</v>
      </c>
      <c r="H2" s="3">
        <f>ABS(('Задание 2.0'!$B$6/'Задание 2.0'!$B$1)+ABS(H$1))</f>
        <v>10.571428571428571</v>
      </c>
    </row>
    <row r="17" spans="1:14" x14ac:dyDescent="0.25">
      <c r="A17" s="2" t="s">
        <v>7</v>
      </c>
      <c r="B17" s="2">
        <v>-3.75</v>
      </c>
      <c r="C17" s="2">
        <v>-3.5</v>
      </c>
      <c r="D17" s="2">
        <v>-2</v>
      </c>
      <c r="E17" s="2">
        <v>-1.25</v>
      </c>
      <c r="F17" s="2">
        <v>-1</v>
      </c>
      <c r="G17" s="2">
        <v>-0.5</v>
      </c>
      <c r="H17" s="2">
        <v>0</v>
      </c>
      <c r="I17" s="2">
        <v>0.5</v>
      </c>
      <c r="J17" s="2">
        <v>1</v>
      </c>
      <c r="K17" s="2">
        <v>1.25</v>
      </c>
      <c r="L17" s="2">
        <v>2</v>
      </c>
      <c r="M17" s="2">
        <v>3.5</v>
      </c>
      <c r="N17" s="2">
        <v>3.75</v>
      </c>
    </row>
    <row r="18" spans="1:14" x14ac:dyDescent="0.25">
      <c r="A18" s="3" t="s">
        <v>9</v>
      </c>
      <c r="B18" s="3">
        <f>'Задание 2.0'!$B$1*B$17^2+'Задание 2.0'!$B$2*B$17+$A$21</f>
        <v>72.4375</v>
      </c>
      <c r="C18" s="3">
        <f>'Задание 2.0'!$B$1*C$17^2+'Задание 2.0'!$B$2*C$17+$A$21</f>
        <v>61.75</v>
      </c>
      <c r="D18" s="3">
        <f>'Задание 2.0'!$B$1*D$17^2+'Задание 2.0'!$B$2*D$17+$A$21</f>
        <v>16</v>
      </c>
      <c r="E18" s="3">
        <f>'Задание 2.0'!$B$1*E$17^2+'Задание 2.0'!$B$2*E$17+$A$21</f>
        <v>4.9375</v>
      </c>
      <c r="F18" s="3">
        <f>'Задание 2.0'!$B$1*F$17^2+'Задание 2.0'!$B$2*F$17+$A$21</f>
        <v>3</v>
      </c>
      <c r="G18" s="3">
        <f>'Задание 2.0'!$B$1*G$17^2+'Задание 2.0'!$B$2*G$17+$A$21</f>
        <v>1.75</v>
      </c>
      <c r="H18" s="3">
        <f>'Задание 2.0'!$B$1*H$17^2+'Задание 2.0'!$B$2*H$17+$A$21</f>
        <v>4</v>
      </c>
      <c r="I18" s="3">
        <f>'Задание 2.0'!$B$1*I$17^2+'Задание 2.0'!$B$2*I$17+$A$21</f>
        <v>9.75</v>
      </c>
      <c r="J18" s="3">
        <f>'Задание 2.0'!$B$1*J$17^2+'Задание 2.0'!$B$2*J$17+$A$21</f>
        <v>19</v>
      </c>
      <c r="K18" s="3">
        <f>'Задание 2.0'!$B$1*K$17^2+'Задание 2.0'!$B$2*K$17+$A$21</f>
        <v>24.9375</v>
      </c>
      <c r="L18" s="3">
        <f>'Задание 2.0'!$B$1*L$17^2+'Задание 2.0'!$B$2*L$17+$A$21</f>
        <v>48</v>
      </c>
      <c r="M18" s="3">
        <f>'Задание 2.0'!$B$1*M$17^2+'Задание 2.0'!$B$2*M$17+$A$21</f>
        <v>117.75</v>
      </c>
      <c r="N18" s="3">
        <f>'Задание 2.0'!$B$1*N$17^2+'Задание 2.0'!$B$2*N$17+$A$21</f>
        <v>132.4375</v>
      </c>
    </row>
    <row r="20" spans="1:14" x14ac:dyDescent="0.25">
      <c r="A20" s="1" t="s">
        <v>10</v>
      </c>
    </row>
    <row r="21" spans="1:14" x14ac:dyDescent="0.25">
      <c r="A21" s="1">
        <f>MOD('Задание 2.0'!B3,'Задание 2.0'!B7)</f>
        <v>4</v>
      </c>
    </row>
    <row r="33" spans="1:14" x14ac:dyDescent="0.25">
      <c r="A33" s="2" t="s">
        <v>7</v>
      </c>
      <c r="B33" s="2">
        <v>-3.75</v>
      </c>
      <c r="C33" s="2">
        <v>-3.5</v>
      </c>
      <c r="D33" s="2">
        <v>-2</v>
      </c>
      <c r="E33" s="2">
        <v>-1.25</v>
      </c>
      <c r="F33" s="2">
        <v>-1</v>
      </c>
      <c r="G33" s="2">
        <v>-0.5</v>
      </c>
      <c r="H33" s="2">
        <v>0</v>
      </c>
      <c r="I33" s="2">
        <v>0.5</v>
      </c>
      <c r="J33" s="2">
        <v>1</v>
      </c>
      <c r="K33" s="2">
        <v>1.25</v>
      </c>
      <c r="L33" s="2">
        <v>2</v>
      </c>
      <c r="M33" s="2">
        <v>3.5</v>
      </c>
      <c r="N33" s="2">
        <v>3.75</v>
      </c>
    </row>
    <row r="34" spans="1:14" x14ac:dyDescent="0.25">
      <c r="A34" s="3" t="s">
        <v>11</v>
      </c>
      <c r="B34" s="3">
        <f>ABS(-5*B$33^2+$A$37*B$33+$A$40)</f>
        <v>127.64583333333333</v>
      </c>
      <c r="C34" s="3">
        <f t="shared" ref="C34:N34" si="0">ABS(-5*C$33^2+$A$37*C$33+$A$40)</f>
        <v>112.91666666666667</v>
      </c>
      <c r="D34" s="3">
        <f t="shared" si="0"/>
        <v>37.666666666666671</v>
      </c>
      <c r="E34" s="3">
        <f t="shared" si="0"/>
        <v>8.4791666666666679</v>
      </c>
      <c r="F34" s="3">
        <f t="shared" si="0"/>
        <v>0</v>
      </c>
      <c r="G34" s="3">
        <f t="shared" si="0"/>
        <v>15.083333333333334</v>
      </c>
      <c r="H34" s="3">
        <f t="shared" si="0"/>
        <v>27.666666666666668</v>
      </c>
      <c r="I34" s="3">
        <f t="shared" si="0"/>
        <v>37.75</v>
      </c>
      <c r="J34" s="3">
        <f t="shared" si="0"/>
        <v>45.333333333333336</v>
      </c>
      <c r="K34" s="3">
        <f t="shared" si="0"/>
        <v>48.1875</v>
      </c>
      <c r="L34" s="3">
        <f t="shared" si="0"/>
        <v>53</v>
      </c>
      <c r="M34" s="3">
        <f t="shared" si="0"/>
        <v>45.750000000000014</v>
      </c>
      <c r="N34" s="3">
        <f t="shared" si="0"/>
        <v>42.354166666666671</v>
      </c>
    </row>
    <row r="36" spans="1:14" x14ac:dyDescent="0.25">
      <c r="A36" s="1" t="s">
        <v>12</v>
      </c>
    </row>
    <row r="37" spans="1:14" x14ac:dyDescent="0.25">
      <c r="A37" s="1">
        <f>AVERAGE('Задание 2.0'!B1,'Задание 2.0'!B2,'Задание 2.0'!B6)</f>
        <v>22.666666666666668</v>
      </c>
    </row>
    <row r="39" spans="1:14" x14ac:dyDescent="0.25">
      <c r="A39" s="1" t="s">
        <v>13</v>
      </c>
    </row>
    <row r="40" spans="1:14" x14ac:dyDescent="0.25">
      <c r="A40" s="1">
        <f>AVERAGE('Задание 2.0'!B4,'Задание 2.0'!B5,'Задание 2.0'!B7)</f>
        <v>27.666666666666668</v>
      </c>
    </row>
    <row r="49" spans="1:8" x14ac:dyDescent="0.25">
      <c r="A49" s="2" t="s">
        <v>7</v>
      </c>
      <c r="B49" s="2">
        <v>-4</v>
      </c>
      <c r="C49" s="2">
        <v>-2</v>
      </c>
      <c r="D49" s="2">
        <v>-1</v>
      </c>
      <c r="E49" s="2">
        <v>0</v>
      </c>
      <c r="F49" s="2">
        <v>1</v>
      </c>
      <c r="G49" s="2">
        <v>2</v>
      </c>
      <c r="H49" s="2">
        <v>4</v>
      </c>
    </row>
    <row r="50" spans="1:8" x14ac:dyDescent="0.25">
      <c r="A50" s="3" t="s">
        <v>16</v>
      </c>
      <c r="B50" s="3">
        <f>LOG($A$56,$A$53)</f>
        <v>2.8774437510817346</v>
      </c>
      <c r="C50" s="3">
        <f t="shared" ref="C50:H50" si="1">LOG($A$56,$A$53)</f>
        <v>2.8774437510817346</v>
      </c>
      <c r="D50" s="3">
        <f t="shared" si="1"/>
        <v>2.8774437510817346</v>
      </c>
      <c r="E50" s="3">
        <f t="shared" si="1"/>
        <v>2.8774437510817346</v>
      </c>
      <c r="F50" s="3">
        <f t="shared" si="1"/>
        <v>2.8774437510817346</v>
      </c>
      <c r="G50" s="3">
        <f t="shared" si="1"/>
        <v>2.8774437510817346</v>
      </c>
      <c r="H50" s="3">
        <f t="shared" si="1"/>
        <v>2.8774437510817346</v>
      </c>
    </row>
    <row r="52" spans="1:8" x14ac:dyDescent="0.25">
      <c r="A52" s="1" t="s">
        <v>14</v>
      </c>
    </row>
    <row r="53" spans="1:8" x14ac:dyDescent="0.25">
      <c r="A53" s="1">
        <f>ABS('Задание 2.0'!B4-'Задание 2.0'!B1)+3</f>
        <v>4</v>
      </c>
    </row>
    <row r="55" spans="1:8" x14ac:dyDescent="0.25">
      <c r="A55" s="1" t="s">
        <v>15</v>
      </c>
    </row>
    <row r="56" spans="1:8" x14ac:dyDescent="0.25">
      <c r="A56" s="1">
        <f>GCD('Задание 2.0'!B1,'Задание 2.0'!B5)+'Задание 2.0'!B6</f>
        <v>54</v>
      </c>
    </row>
  </sheetData>
  <pageMargins left="0.7" right="0.7" top="0.75" bottom="0.75" header="0.3" footer="0.3"/>
  <pageSetup paperSize="9" orientation="portrait" horizontalDpi="4294967293" verticalDpi="0" r:id="rId1"/>
  <headerFooter>
    <oddHeader xml:space="preserve">&amp;CКочеткова Мария Павловна 
группа 2.2
07.08.2004
вариант 53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E658-73D3-4534-900A-DF6CC430791C}">
  <dimension ref="A1:P16"/>
  <sheetViews>
    <sheetView topLeftCell="A10" zoomScaleNormal="100" workbookViewId="0">
      <selection activeCell="B3" sqref="B3"/>
    </sheetView>
  </sheetViews>
  <sheetFormatPr defaultRowHeight="15.75" x14ac:dyDescent="0.25"/>
  <cols>
    <col min="1" max="16384" width="9.140625" style="4"/>
  </cols>
  <sheetData>
    <row r="1" spans="1:16" x14ac:dyDescent="0.25">
      <c r="A1" s="2" t="s">
        <v>17</v>
      </c>
      <c r="B1" s="2">
        <v>1</v>
      </c>
    </row>
    <row r="2" spans="1:16" x14ac:dyDescent="0.25">
      <c r="A2" s="2" t="s">
        <v>18</v>
      </c>
      <c r="B2" s="2">
        <v>1</v>
      </c>
    </row>
    <row r="4" spans="1:16" x14ac:dyDescent="0.25">
      <c r="A4"/>
      <c r="B4" s="3">
        <v>-7</v>
      </c>
      <c r="C4" s="3">
        <v>-6</v>
      </c>
      <c r="D4" s="3">
        <v>-5</v>
      </c>
      <c r="E4" s="3">
        <v>-4</v>
      </c>
      <c r="F4" s="3">
        <v>-3</v>
      </c>
      <c r="G4" s="3">
        <v>-2</v>
      </c>
      <c r="H4" s="3">
        <v>-1</v>
      </c>
      <c r="I4" s="3">
        <v>0</v>
      </c>
      <c r="J4" s="3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</row>
    <row r="5" spans="1:16" x14ac:dyDescent="0.25">
      <c r="A5" s="3">
        <v>-5</v>
      </c>
      <c r="B5" s="4">
        <f>(B$4^2/$B$1^2)+($A5^2/$B$2^2)</f>
        <v>74</v>
      </c>
      <c r="C5" s="4">
        <f t="shared" ref="C5:P15" si="0">(C$4^2/$B$1^2)+($A5^2/$B$2^2)</f>
        <v>61</v>
      </c>
      <c r="D5" s="4">
        <f t="shared" si="0"/>
        <v>50</v>
      </c>
      <c r="E5" s="4">
        <f t="shared" si="0"/>
        <v>41</v>
      </c>
      <c r="F5" s="4">
        <f t="shared" si="0"/>
        <v>34</v>
      </c>
      <c r="G5" s="4">
        <f t="shared" si="0"/>
        <v>29</v>
      </c>
      <c r="H5" s="4">
        <f t="shared" si="0"/>
        <v>26</v>
      </c>
      <c r="I5" s="4">
        <f t="shared" si="0"/>
        <v>25</v>
      </c>
      <c r="J5" s="4">
        <f t="shared" si="0"/>
        <v>26</v>
      </c>
      <c r="K5" s="4">
        <f t="shared" si="0"/>
        <v>29</v>
      </c>
      <c r="L5" s="4">
        <f t="shared" si="0"/>
        <v>34</v>
      </c>
      <c r="M5" s="4">
        <f t="shared" si="0"/>
        <v>41</v>
      </c>
      <c r="N5" s="4">
        <f t="shared" si="0"/>
        <v>50</v>
      </c>
      <c r="O5" s="4">
        <f t="shared" si="0"/>
        <v>61</v>
      </c>
      <c r="P5" s="4">
        <f t="shared" si="0"/>
        <v>74</v>
      </c>
    </row>
    <row r="6" spans="1:16" x14ac:dyDescent="0.25">
      <c r="A6" s="3">
        <v>-4</v>
      </c>
      <c r="B6" s="4">
        <f t="shared" ref="B6:B15" si="1">(B$4^2/$B$1^2)+($A6^2/$B$2^2)</f>
        <v>65</v>
      </c>
      <c r="C6" s="4">
        <f t="shared" si="0"/>
        <v>52</v>
      </c>
      <c r="D6" s="4">
        <f t="shared" si="0"/>
        <v>41</v>
      </c>
      <c r="E6" s="4">
        <f t="shared" si="0"/>
        <v>32</v>
      </c>
      <c r="F6" s="4">
        <f t="shared" si="0"/>
        <v>25</v>
      </c>
      <c r="G6" s="4">
        <f t="shared" si="0"/>
        <v>20</v>
      </c>
      <c r="H6" s="4">
        <f t="shared" si="0"/>
        <v>17</v>
      </c>
      <c r="I6" s="4">
        <f t="shared" si="0"/>
        <v>16</v>
      </c>
      <c r="J6" s="4">
        <f t="shared" si="0"/>
        <v>17</v>
      </c>
      <c r="K6" s="4">
        <f t="shared" si="0"/>
        <v>20</v>
      </c>
      <c r="L6" s="4">
        <f t="shared" si="0"/>
        <v>25</v>
      </c>
      <c r="M6" s="4">
        <f t="shared" si="0"/>
        <v>32</v>
      </c>
      <c r="N6" s="4">
        <f t="shared" si="0"/>
        <v>41</v>
      </c>
      <c r="O6" s="4">
        <f t="shared" si="0"/>
        <v>52</v>
      </c>
      <c r="P6" s="4">
        <f t="shared" si="0"/>
        <v>65</v>
      </c>
    </row>
    <row r="7" spans="1:16" x14ac:dyDescent="0.25">
      <c r="A7" s="3">
        <v>-3</v>
      </c>
      <c r="B7" s="4">
        <f t="shared" si="1"/>
        <v>58</v>
      </c>
      <c r="C7" s="4">
        <f t="shared" si="0"/>
        <v>45</v>
      </c>
      <c r="D7" s="4">
        <f t="shared" si="0"/>
        <v>34</v>
      </c>
      <c r="E7" s="4">
        <f t="shared" si="0"/>
        <v>25</v>
      </c>
      <c r="F7" s="4">
        <f t="shared" si="0"/>
        <v>18</v>
      </c>
      <c r="G7" s="4">
        <f t="shared" si="0"/>
        <v>13</v>
      </c>
      <c r="H7" s="4">
        <f t="shared" si="0"/>
        <v>10</v>
      </c>
      <c r="I7" s="4">
        <f t="shared" si="0"/>
        <v>9</v>
      </c>
      <c r="J7" s="4">
        <f t="shared" si="0"/>
        <v>10</v>
      </c>
      <c r="K7" s="4">
        <f t="shared" si="0"/>
        <v>13</v>
      </c>
      <c r="L7" s="4">
        <f t="shared" si="0"/>
        <v>18</v>
      </c>
      <c r="M7" s="4">
        <f t="shared" si="0"/>
        <v>25</v>
      </c>
      <c r="N7" s="4">
        <f t="shared" si="0"/>
        <v>34</v>
      </c>
      <c r="O7" s="4">
        <f t="shared" si="0"/>
        <v>45</v>
      </c>
      <c r="P7" s="4">
        <f t="shared" si="0"/>
        <v>58</v>
      </c>
    </row>
    <row r="8" spans="1:16" x14ac:dyDescent="0.25">
      <c r="A8" s="3">
        <v>-2</v>
      </c>
      <c r="B8" s="4">
        <f t="shared" si="1"/>
        <v>53</v>
      </c>
      <c r="C8" s="4">
        <f t="shared" si="0"/>
        <v>40</v>
      </c>
      <c r="D8" s="4">
        <f t="shared" si="0"/>
        <v>29</v>
      </c>
      <c r="E8" s="4">
        <f t="shared" si="0"/>
        <v>20</v>
      </c>
      <c r="F8" s="4">
        <f t="shared" si="0"/>
        <v>13</v>
      </c>
      <c r="G8" s="4">
        <f t="shared" si="0"/>
        <v>8</v>
      </c>
      <c r="H8" s="4">
        <f t="shared" si="0"/>
        <v>5</v>
      </c>
      <c r="I8" s="4">
        <f t="shared" si="0"/>
        <v>4</v>
      </c>
      <c r="J8" s="4">
        <f t="shared" si="0"/>
        <v>5</v>
      </c>
      <c r="K8" s="4">
        <f t="shared" si="0"/>
        <v>8</v>
      </c>
      <c r="L8" s="4">
        <f t="shared" si="0"/>
        <v>13</v>
      </c>
      <c r="M8" s="4">
        <f t="shared" si="0"/>
        <v>20</v>
      </c>
      <c r="N8" s="4">
        <f t="shared" si="0"/>
        <v>29</v>
      </c>
      <c r="O8" s="4">
        <f t="shared" si="0"/>
        <v>40</v>
      </c>
      <c r="P8" s="4">
        <f t="shared" si="0"/>
        <v>53</v>
      </c>
    </row>
    <row r="9" spans="1:16" x14ac:dyDescent="0.25">
      <c r="A9" s="3">
        <v>-1</v>
      </c>
      <c r="B9" s="4">
        <f t="shared" si="1"/>
        <v>50</v>
      </c>
      <c r="C9" s="4">
        <f t="shared" si="0"/>
        <v>37</v>
      </c>
      <c r="D9" s="4">
        <f t="shared" si="0"/>
        <v>26</v>
      </c>
      <c r="E9" s="4">
        <f t="shared" si="0"/>
        <v>17</v>
      </c>
      <c r="F9" s="4">
        <f t="shared" si="0"/>
        <v>10</v>
      </c>
      <c r="G9" s="4">
        <f t="shared" si="0"/>
        <v>5</v>
      </c>
      <c r="H9" s="4">
        <f t="shared" si="0"/>
        <v>2</v>
      </c>
      <c r="I9" s="4">
        <f t="shared" si="0"/>
        <v>1</v>
      </c>
      <c r="J9" s="4">
        <f t="shared" si="0"/>
        <v>2</v>
      </c>
      <c r="K9" s="4">
        <f t="shared" si="0"/>
        <v>5</v>
      </c>
      <c r="L9" s="4">
        <f t="shared" si="0"/>
        <v>10</v>
      </c>
      <c r="M9" s="4">
        <f t="shared" si="0"/>
        <v>17</v>
      </c>
      <c r="N9" s="4">
        <f t="shared" si="0"/>
        <v>26</v>
      </c>
      <c r="O9" s="4">
        <f t="shared" si="0"/>
        <v>37</v>
      </c>
      <c r="P9" s="4">
        <f t="shared" si="0"/>
        <v>50</v>
      </c>
    </row>
    <row r="10" spans="1:16" x14ac:dyDescent="0.25">
      <c r="A10" s="3">
        <v>0</v>
      </c>
      <c r="B10" s="4">
        <f t="shared" si="1"/>
        <v>49</v>
      </c>
      <c r="C10" s="4">
        <f t="shared" si="0"/>
        <v>36</v>
      </c>
      <c r="D10" s="4">
        <f t="shared" si="0"/>
        <v>25</v>
      </c>
      <c r="E10" s="4">
        <f t="shared" si="0"/>
        <v>16</v>
      </c>
      <c r="F10" s="4">
        <f t="shared" si="0"/>
        <v>9</v>
      </c>
      <c r="G10" s="4">
        <f t="shared" si="0"/>
        <v>4</v>
      </c>
      <c r="H10" s="4">
        <f t="shared" si="0"/>
        <v>1</v>
      </c>
      <c r="I10" s="4">
        <f t="shared" si="0"/>
        <v>0</v>
      </c>
      <c r="J10" s="4">
        <f t="shared" si="0"/>
        <v>1</v>
      </c>
      <c r="K10" s="4">
        <f t="shared" si="0"/>
        <v>4</v>
      </c>
      <c r="L10" s="4">
        <f t="shared" si="0"/>
        <v>9</v>
      </c>
      <c r="M10" s="4">
        <f t="shared" si="0"/>
        <v>16</v>
      </c>
      <c r="N10" s="4">
        <f t="shared" si="0"/>
        <v>25</v>
      </c>
      <c r="O10" s="4">
        <f t="shared" si="0"/>
        <v>36</v>
      </c>
      <c r="P10" s="4">
        <f t="shared" si="0"/>
        <v>49</v>
      </c>
    </row>
    <row r="11" spans="1:16" x14ac:dyDescent="0.25">
      <c r="A11" s="3">
        <v>1</v>
      </c>
      <c r="B11" s="4">
        <f t="shared" si="1"/>
        <v>50</v>
      </c>
      <c r="C11" s="4">
        <f t="shared" si="0"/>
        <v>37</v>
      </c>
      <c r="D11" s="4">
        <f t="shared" si="0"/>
        <v>26</v>
      </c>
      <c r="E11" s="4">
        <f t="shared" si="0"/>
        <v>17</v>
      </c>
      <c r="F11" s="4">
        <f t="shared" si="0"/>
        <v>10</v>
      </c>
      <c r="G11" s="4">
        <f t="shared" si="0"/>
        <v>5</v>
      </c>
      <c r="H11" s="4">
        <f t="shared" si="0"/>
        <v>2</v>
      </c>
      <c r="I11" s="4">
        <f t="shared" si="0"/>
        <v>1</v>
      </c>
      <c r="J11" s="4">
        <f t="shared" si="0"/>
        <v>2</v>
      </c>
      <c r="K11" s="4">
        <f t="shared" si="0"/>
        <v>5</v>
      </c>
      <c r="L11" s="4">
        <f t="shared" si="0"/>
        <v>10</v>
      </c>
      <c r="M11" s="4">
        <f t="shared" si="0"/>
        <v>17</v>
      </c>
      <c r="N11" s="4">
        <f t="shared" si="0"/>
        <v>26</v>
      </c>
      <c r="O11" s="4">
        <f t="shared" si="0"/>
        <v>37</v>
      </c>
      <c r="P11" s="4">
        <f t="shared" si="0"/>
        <v>50</v>
      </c>
    </row>
    <row r="12" spans="1:16" x14ac:dyDescent="0.25">
      <c r="A12" s="3">
        <v>2</v>
      </c>
      <c r="B12" s="4">
        <f t="shared" si="1"/>
        <v>53</v>
      </c>
      <c r="C12" s="4">
        <f t="shared" si="0"/>
        <v>40</v>
      </c>
      <c r="D12" s="4">
        <f t="shared" si="0"/>
        <v>29</v>
      </c>
      <c r="E12" s="4">
        <f t="shared" si="0"/>
        <v>20</v>
      </c>
      <c r="F12" s="4">
        <f t="shared" si="0"/>
        <v>13</v>
      </c>
      <c r="G12" s="4">
        <f t="shared" si="0"/>
        <v>8</v>
      </c>
      <c r="H12" s="4">
        <f t="shared" si="0"/>
        <v>5</v>
      </c>
      <c r="I12" s="4">
        <f t="shared" si="0"/>
        <v>4</v>
      </c>
      <c r="J12" s="4">
        <f t="shared" si="0"/>
        <v>5</v>
      </c>
      <c r="K12" s="4">
        <f t="shared" si="0"/>
        <v>8</v>
      </c>
      <c r="L12" s="4">
        <f t="shared" si="0"/>
        <v>13</v>
      </c>
      <c r="M12" s="4">
        <f t="shared" si="0"/>
        <v>20</v>
      </c>
      <c r="N12" s="4">
        <f t="shared" si="0"/>
        <v>29</v>
      </c>
      <c r="O12" s="4">
        <f t="shared" si="0"/>
        <v>40</v>
      </c>
      <c r="P12" s="4">
        <f t="shared" si="0"/>
        <v>53</v>
      </c>
    </row>
    <row r="13" spans="1:16" x14ac:dyDescent="0.25">
      <c r="A13" s="3">
        <v>3</v>
      </c>
      <c r="B13" s="4">
        <f t="shared" si="1"/>
        <v>58</v>
      </c>
      <c r="C13" s="4">
        <f t="shared" si="0"/>
        <v>45</v>
      </c>
      <c r="D13" s="4">
        <f t="shared" si="0"/>
        <v>34</v>
      </c>
      <c r="E13" s="4">
        <f t="shared" si="0"/>
        <v>25</v>
      </c>
      <c r="F13" s="4">
        <f t="shared" si="0"/>
        <v>18</v>
      </c>
      <c r="G13" s="4">
        <f t="shared" si="0"/>
        <v>13</v>
      </c>
      <c r="H13" s="4">
        <f t="shared" si="0"/>
        <v>10</v>
      </c>
      <c r="I13" s="4">
        <f t="shared" si="0"/>
        <v>9</v>
      </c>
      <c r="J13" s="4">
        <f t="shared" si="0"/>
        <v>10</v>
      </c>
      <c r="K13" s="4">
        <f t="shared" si="0"/>
        <v>13</v>
      </c>
      <c r="L13" s="4">
        <f t="shared" si="0"/>
        <v>18</v>
      </c>
      <c r="M13" s="4">
        <f t="shared" si="0"/>
        <v>25</v>
      </c>
      <c r="N13" s="4">
        <f t="shared" si="0"/>
        <v>34</v>
      </c>
      <c r="O13" s="4">
        <f t="shared" si="0"/>
        <v>45</v>
      </c>
      <c r="P13" s="4">
        <f t="shared" si="0"/>
        <v>58</v>
      </c>
    </row>
    <row r="14" spans="1:16" x14ac:dyDescent="0.25">
      <c r="A14" s="3">
        <v>4</v>
      </c>
      <c r="B14" s="4">
        <f t="shared" si="1"/>
        <v>65</v>
      </c>
      <c r="C14" s="4">
        <f t="shared" si="0"/>
        <v>52</v>
      </c>
      <c r="D14" s="4">
        <f t="shared" si="0"/>
        <v>41</v>
      </c>
      <c r="E14" s="4">
        <f t="shared" si="0"/>
        <v>32</v>
      </c>
      <c r="F14" s="4">
        <f t="shared" si="0"/>
        <v>25</v>
      </c>
      <c r="G14" s="4">
        <f t="shared" si="0"/>
        <v>20</v>
      </c>
      <c r="H14" s="4">
        <f t="shared" si="0"/>
        <v>17</v>
      </c>
      <c r="I14" s="4">
        <f t="shared" si="0"/>
        <v>16</v>
      </c>
      <c r="J14" s="4">
        <f t="shared" si="0"/>
        <v>17</v>
      </c>
      <c r="K14" s="4">
        <f t="shared" si="0"/>
        <v>20</v>
      </c>
      <c r="L14" s="4">
        <f t="shared" si="0"/>
        <v>25</v>
      </c>
      <c r="M14" s="4">
        <f t="shared" si="0"/>
        <v>32</v>
      </c>
      <c r="N14" s="4">
        <f t="shared" si="0"/>
        <v>41</v>
      </c>
      <c r="O14" s="4">
        <f t="shared" si="0"/>
        <v>52</v>
      </c>
      <c r="P14" s="4">
        <f t="shared" si="0"/>
        <v>65</v>
      </c>
    </row>
    <row r="15" spans="1:16" x14ac:dyDescent="0.25">
      <c r="A15" s="3">
        <v>5</v>
      </c>
      <c r="B15" s="4">
        <f t="shared" si="1"/>
        <v>74</v>
      </c>
      <c r="C15" s="4">
        <f t="shared" si="0"/>
        <v>61</v>
      </c>
      <c r="D15" s="4">
        <f t="shared" si="0"/>
        <v>50</v>
      </c>
      <c r="E15" s="4">
        <f t="shared" si="0"/>
        <v>41</v>
      </c>
      <c r="F15" s="4">
        <f t="shared" si="0"/>
        <v>34</v>
      </c>
      <c r="G15" s="4">
        <f t="shared" si="0"/>
        <v>29</v>
      </c>
      <c r="H15" s="4">
        <f t="shared" si="0"/>
        <v>26</v>
      </c>
      <c r="I15" s="4">
        <f t="shared" si="0"/>
        <v>25</v>
      </c>
      <c r="J15" s="4">
        <f t="shared" si="0"/>
        <v>26</v>
      </c>
      <c r="K15" s="4">
        <f t="shared" si="0"/>
        <v>29</v>
      </c>
      <c r="L15" s="4">
        <f t="shared" si="0"/>
        <v>34</v>
      </c>
      <c r="M15" s="4">
        <f t="shared" si="0"/>
        <v>41</v>
      </c>
      <c r="N15" s="4">
        <f t="shared" si="0"/>
        <v>50</v>
      </c>
      <c r="O15" s="4">
        <f t="shared" si="0"/>
        <v>61</v>
      </c>
      <c r="P15" s="4">
        <f t="shared" si="0"/>
        <v>74</v>
      </c>
    </row>
    <row r="16" spans="1:16" x14ac:dyDescent="0.25">
      <c r="A16"/>
    </row>
  </sheetData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группа2.2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C7178-C09F-4078-B8CB-BE0F54283CB0}">
  <dimension ref="A1:P16"/>
  <sheetViews>
    <sheetView tabSelected="1" topLeftCell="B1" zoomScaleNormal="100" workbookViewId="0">
      <selection activeCell="B1" sqref="B1"/>
    </sheetView>
  </sheetViews>
  <sheetFormatPr defaultRowHeight="15.75" x14ac:dyDescent="0.25"/>
  <cols>
    <col min="1" max="16384" width="9.140625" style="4"/>
  </cols>
  <sheetData>
    <row r="1" spans="1:16" x14ac:dyDescent="0.25">
      <c r="A1" s="2" t="s">
        <v>17</v>
      </c>
      <c r="B1" s="2">
        <v>5</v>
      </c>
    </row>
    <row r="2" spans="1:16" x14ac:dyDescent="0.25">
      <c r="A2" s="2" t="s">
        <v>18</v>
      </c>
      <c r="B2" s="2">
        <v>87</v>
      </c>
    </row>
    <row r="4" spans="1:16" x14ac:dyDescent="0.25">
      <c r="A4"/>
      <c r="B4" s="3">
        <v>-7</v>
      </c>
      <c r="C4" s="3">
        <v>-6</v>
      </c>
      <c r="D4" s="3">
        <v>-5</v>
      </c>
      <c r="E4" s="3">
        <v>-4</v>
      </c>
      <c r="F4" s="3">
        <v>-3</v>
      </c>
      <c r="G4" s="3">
        <v>-2</v>
      </c>
      <c r="H4" s="3">
        <v>-1</v>
      </c>
      <c r="I4" s="3">
        <v>0</v>
      </c>
      <c r="J4" s="3">
        <v>1</v>
      </c>
      <c r="K4" s="3">
        <v>2</v>
      </c>
      <c r="L4" s="3">
        <v>3</v>
      </c>
      <c r="M4" s="3">
        <v>4</v>
      </c>
      <c r="N4" s="3">
        <v>5</v>
      </c>
      <c r="O4" s="3">
        <v>6</v>
      </c>
      <c r="P4" s="3">
        <v>7</v>
      </c>
    </row>
    <row r="5" spans="1:16" x14ac:dyDescent="0.25">
      <c r="A5" s="3">
        <v>-5</v>
      </c>
      <c r="B5" s="4">
        <f t="shared" ref="B5:P15" si="0">(B$4^2/$B$1^2)+($A5^2/$B$2^2)</f>
        <v>1.9633029462280354</v>
      </c>
      <c r="C5" s="4">
        <f t="shared" si="0"/>
        <v>1.4433029462280353</v>
      </c>
      <c r="D5" s="4">
        <f t="shared" si="0"/>
        <v>1.0033029462280354</v>
      </c>
      <c r="E5" s="4">
        <f t="shared" si="0"/>
        <v>0.64330294622803541</v>
      </c>
      <c r="F5" s="4">
        <f t="shared" si="0"/>
        <v>0.36330294622803538</v>
      </c>
      <c r="G5" s="4">
        <f t="shared" si="0"/>
        <v>0.1633029462280354</v>
      </c>
      <c r="H5" s="4">
        <f t="shared" si="0"/>
        <v>4.3302946228035405E-2</v>
      </c>
      <c r="I5" s="4">
        <f t="shared" si="0"/>
        <v>3.3029462280354076E-3</v>
      </c>
      <c r="J5" s="4">
        <f t="shared" si="0"/>
        <v>4.3302946228035405E-2</v>
      </c>
      <c r="K5" s="4">
        <f t="shared" si="0"/>
        <v>0.1633029462280354</v>
      </c>
      <c r="L5" s="4">
        <f t="shared" si="0"/>
        <v>0.36330294622803538</v>
      </c>
      <c r="M5" s="4">
        <f t="shared" si="0"/>
        <v>0.64330294622803541</v>
      </c>
      <c r="N5" s="4">
        <f t="shared" si="0"/>
        <v>1.0033029462280354</v>
      </c>
      <c r="O5" s="4">
        <f t="shared" si="0"/>
        <v>1.4433029462280353</v>
      </c>
      <c r="P5" s="4">
        <f t="shared" si="0"/>
        <v>1.9633029462280354</v>
      </c>
    </row>
    <row r="6" spans="1:16" x14ac:dyDescent="0.25">
      <c r="A6" s="3">
        <v>-4</v>
      </c>
      <c r="B6" s="4">
        <f t="shared" si="0"/>
        <v>1.9621138855859426</v>
      </c>
      <c r="C6" s="4">
        <f t="shared" si="0"/>
        <v>1.4421138855859426</v>
      </c>
      <c r="D6" s="4">
        <f t="shared" si="0"/>
        <v>1.0021138855859426</v>
      </c>
      <c r="E6" s="4">
        <f t="shared" si="0"/>
        <v>0.64211388558594262</v>
      </c>
      <c r="F6" s="4">
        <f t="shared" si="0"/>
        <v>0.36211388558594265</v>
      </c>
      <c r="G6" s="4">
        <f t="shared" si="0"/>
        <v>0.16211388558594267</v>
      </c>
      <c r="H6" s="4">
        <f t="shared" si="0"/>
        <v>4.2113885585942659E-2</v>
      </c>
      <c r="I6" s="4">
        <f t="shared" si="0"/>
        <v>2.113885585942661E-3</v>
      </c>
      <c r="J6" s="4">
        <f t="shared" si="0"/>
        <v>4.2113885585942659E-2</v>
      </c>
      <c r="K6" s="4">
        <f t="shared" si="0"/>
        <v>0.16211388558594267</v>
      </c>
      <c r="L6" s="4">
        <f t="shared" si="0"/>
        <v>0.36211388558594265</v>
      </c>
      <c r="M6" s="4">
        <f t="shared" si="0"/>
        <v>0.64211388558594262</v>
      </c>
      <c r="N6" s="4">
        <f t="shared" si="0"/>
        <v>1.0021138855859426</v>
      </c>
      <c r="O6" s="4">
        <f t="shared" si="0"/>
        <v>1.4421138855859426</v>
      </c>
      <c r="P6" s="4">
        <f t="shared" si="0"/>
        <v>1.9621138855859426</v>
      </c>
    </row>
    <row r="7" spans="1:16" x14ac:dyDescent="0.25">
      <c r="A7" s="3">
        <v>-3</v>
      </c>
      <c r="B7" s="4">
        <f t="shared" si="0"/>
        <v>1.9611890606420928</v>
      </c>
      <c r="C7" s="4">
        <f t="shared" si="0"/>
        <v>1.4411890606420927</v>
      </c>
      <c r="D7" s="4">
        <f t="shared" si="0"/>
        <v>1.0011890606420928</v>
      </c>
      <c r="E7" s="4">
        <f t="shared" si="0"/>
        <v>0.6411890606420928</v>
      </c>
      <c r="F7" s="4">
        <f t="shared" si="0"/>
        <v>0.36118906064209272</v>
      </c>
      <c r="G7" s="4">
        <f t="shared" si="0"/>
        <v>0.16118906064209276</v>
      </c>
      <c r="H7" s="4">
        <f t="shared" si="0"/>
        <v>4.1189060642092747E-2</v>
      </c>
      <c r="I7" s="4">
        <f t="shared" si="0"/>
        <v>1.1890606420927466E-3</v>
      </c>
      <c r="J7" s="4">
        <f t="shared" si="0"/>
        <v>4.1189060642092747E-2</v>
      </c>
      <c r="K7" s="4">
        <f t="shared" si="0"/>
        <v>0.16118906064209276</v>
      </c>
      <c r="L7" s="4">
        <f t="shared" si="0"/>
        <v>0.36118906064209272</v>
      </c>
      <c r="M7" s="4">
        <f t="shared" si="0"/>
        <v>0.6411890606420928</v>
      </c>
      <c r="N7" s="4">
        <f t="shared" si="0"/>
        <v>1.0011890606420928</v>
      </c>
      <c r="O7" s="4">
        <f t="shared" si="0"/>
        <v>1.4411890606420927</v>
      </c>
      <c r="P7" s="4">
        <f t="shared" si="0"/>
        <v>1.9611890606420928</v>
      </c>
    </row>
    <row r="8" spans="1:16" x14ac:dyDescent="0.25">
      <c r="A8" s="3">
        <v>-2</v>
      </c>
      <c r="B8" s="4">
        <f t="shared" si="0"/>
        <v>1.9605284713964857</v>
      </c>
      <c r="C8" s="4">
        <f t="shared" si="0"/>
        <v>1.4405284713964857</v>
      </c>
      <c r="D8" s="4">
        <f t="shared" si="0"/>
        <v>1.0005284713964857</v>
      </c>
      <c r="E8" s="4">
        <f t="shared" si="0"/>
        <v>0.64052847139648572</v>
      </c>
      <c r="F8" s="4">
        <f t="shared" si="0"/>
        <v>0.36052847139648564</v>
      </c>
      <c r="G8" s="4">
        <f t="shared" si="0"/>
        <v>0.16052847139648566</v>
      </c>
      <c r="H8" s="4">
        <f t="shared" si="0"/>
        <v>4.0528471396485667E-2</v>
      </c>
      <c r="I8" s="4">
        <f t="shared" si="0"/>
        <v>5.2847139648566524E-4</v>
      </c>
      <c r="J8" s="4">
        <f t="shared" si="0"/>
        <v>4.0528471396485667E-2</v>
      </c>
      <c r="K8" s="4">
        <f t="shared" si="0"/>
        <v>0.16052847139648566</v>
      </c>
      <c r="L8" s="4">
        <f t="shared" si="0"/>
        <v>0.36052847139648564</v>
      </c>
      <c r="M8" s="4">
        <f t="shared" si="0"/>
        <v>0.64052847139648572</v>
      </c>
      <c r="N8" s="4">
        <f t="shared" si="0"/>
        <v>1.0005284713964857</v>
      </c>
      <c r="O8" s="4">
        <f t="shared" si="0"/>
        <v>1.4405284713964857</v>
      </c>
      <c r="P8" s="4">
        <f t="shared" si="0"/>
        <v>1.9605284713964857</v>
      </c>
    </row>
    <row r="9" spans="1:16" x14ac:dyDescent="0.25">
      <c r="A9" s="3">
        <v>-1</v>
      </c>
      <c r="B9" s="4">
        <f t="shared" si="0"/>
        <v>1.9601321178491213</v>
      </c>
      <c r="C9" s="4">
        <f t="shared" si="0"/>
        <v>1.4401321178491213</v>
      </c>
      <c r="D9" s="4">
        <f t="shared" si="0"/>
        <v>1.0001321178491214</v>
      </c>
      <c r="E9" s="4">
        <f t="shared" si="0"/>
        <v>0.64013211784912138</v>
      </c>
      <c r="F9" s="4">
        <f t="shared" si="0"/>
        <v>0.36013211784912141</v>
      </c>
      <c r="G9" s="4">
        <f t="shared" si="0"/>
        <v>0.16013211784912143</v>
      </c>
      <c r="H9" s="4">
        <f t="shared" si="0"/>
        <v>4.0132117849121414E-2</v>
      </c>
      <c r="I9" s="4">
        <f t="shared" si="0"/>
        <v>1.3211784912141631E-4</v>
      </c>
      <c r="J9" s="4">
        <f t="shared" si="0"/>
        <v>4.0132117849121414E-2</v>
      </c>
      <c r="K9" s="4">
        <f t="shared" si="0"/>
        <v>0.16013211784912143</v>
      </c>
      <c r="L9" s="4">
        <f t="shared" si="0"/>
        <v>0.36013211784912141</v>
      </c>
      <c r="M9" s="4">
        <f t="shared" si="0"/>
        <v>0.64013211784912138</v>
      </c>
      <c r="N9" s="4">
        <f t="shared" si="0"/>
        <v>1.0001321178491214</v>
      </c>
      <c r="O9" s="4">
        <f t="shared" si="0"/>
        <v>1.4401321178491213</v>
      </c>
      <c r="P9" s="4">
        <f t="shared" si="0"/>
        <v>1.9601321178491213</v>
      </c>
    </row>
    <row r="10" spans="1:16" x14ac:dyDescent="0.25">
      <c r="A10" s="3">
        <v>0</v>
      </c>
      <c r="B10" s="4">
        <f t="shared" si="0"/>
        <v>1.96</v>
      </c>
      <c r="C10" s="4">
        <f t="shared" si="0"/>
        <v>1.44</v>
      </c>
      <c r="D10" s="4">
        <f t="shared" si="0"/>
        <v>1</v>
      </c>
      <c r="E10" s="4">
        <f t="shared" si="0"/>
        <v>0.64</v>
      </c>
      <c r="F10" s="4">
        <f t="shared" si="0"/>
        <v>0.36</v>
      </c>
      <c r="G10" s="4">
        <f t="shared" si="0"/>
        <v>0.16</v>
      </c>
      <c r="H10" s="4">
        <f t="shared" si="0"/>
        <v>0.04</v>
      </c>
      <c r="I10" s="4">
        <f t="shared" si="0"/>
        <v>0</v>
      </c>
      <c r="J10" s="4">
        <f t="shared" si="0"/>
        <v>0.04</v>
      </c>
      <c r="K10" s="4">
        <f t="shared" si="0"/>
        <v>0.16</v>
      </c>
      <c r="L10" s="4">
        <f t="shared" si="0"/>
        <v>0.36</v>
      </c>
      <c r="M10" s="4">
        <f t="shared" si="0"/>
        <v>0.64</v>
      </c>
      <c r="N10" s="4">
        <f t="shared" si="0"/>
        <v>1</v>
      </c>
      <c r="O10" s="4">
        <f t="shared" si="0"/>
        <v>1.44</v>
      </c>
      <c r="P10" s="4">
        <f t="shared" si="0"/>
        <v>1.96</v>
      </c>
    </row>
    <row r="11" spans="1:16" x14ac:dyDescent="0.25">
      <c r="A11" s="3">
        <v>1</v>
      </c>
      <c r="B11" s="4">
        <f t="shared" si="0"/>
        <v>1.9601321178491213</v>
      </c>
      <c r="C11" s="4">
        <f t="shared" si="0"/>
        <v>1.4401321178491213</v>
      </c>
      <c r="D11" s="4">
        <f t="shared" si="0"/>
        <v>1.0001321178491214</v>
      </c>
      <c r="E11" s="4">
        <f t="shared" si="0"/>
        <v>0.64013211784912138</v>
      </c>
      <c r="F11" s="4">
        <f t="shared" si="0"/>
        <v>0.36013211784912141</v>
      </c>
      <c r="G11" s="4">
        <f t="shared" si="0"/>
        <v>0.16013211784912143</v>
      </c>
      <c r="H11" s="4">
        <f t="shared" si="0"/>
        <v>4.0132117849121414E-2</v>
      </c>
      <c r="I11" s="4">
        <f t="shared" si="0"/>
        <v>1.3211784912141631E-4</v>
      </c>
      <c r="J11" s="4">
        <f t="shared" si="0"/>
        <v>4.0132117849121414E-2</v>
      </c>
      <c r="K11" s="4">
        <f t="shared" si="0"/>
        <v>0.16013211784912143</v>
      </c>
      <c r="L11" s="4">
        <f t="shared" si="0"/>
        <v>0.36013211784912141</v>
      </c>
      <c r="M11" s="4">
        <f t="shared" si="0"/>
        <v>0.64013211784912138</v>
      </c>
      <c r="N11" s="4">
        <f t="shared" si="0"/>
        <v>1.0001321178491214</v>
      </c>
      <c r="O11" s="4">
        <f t="shared" si="0"/>
        <v>1.4401321178491213</v>
      </c>
      <c r="P11" s="4">
        <f t="shared" si="0"/>
        <v>1.9601321178491213</v>
      </c>
    </row>
    <row r="12" spans="1:16" x14ac:dyDescent="0.25">
      <c r="A12" s="3">
        <v>2</v>
      </c>
      <c r="B12" s="4">
        <f t="shared" si="0"/>
        <v>1.9605284713964857</v>
      </c>
      <c r="C12" s="4">
        <f t="shared" si="0"/>
        <v>1.4405284713964857</v>
      </c>
      <c r="D12" s="4">
        <f t="shared" si="0"/>
        <v>1.0005284713964857</v>
      </c>
      <c r="E12" s="4">
        <f t="shared" si="0"/>
        <v>0.64052847139648572</v>
      </c>
      <c r="F12" s="4">
        <f t="shared" si="0"/>
        <v>0.36052847139648564</v>
      </c>
      <c r="G12" s="4">
        <f t="shared" si="0"/>
        <v>0.16052847139648566</v>
      </c>
      <c r="H12" s="4">
        <f t="shared" si="0"/>
        <v>4.0528471396485667E-2</v>
      </c>
      <c r="I12" s="4">
        <f t="shared" si="0"/>
        <v>5.2847139648566524E-4</v>
      </c>
      <c r="J12" s="4">
        <f t="shared" si="0"/>
        <v>4.0528471396485667E-2</v>
      </c>
      <c r="K12" s="4">
        <f t="shared" si="0"/>
        <v>0.16052847139648566</v>
      </c>
      <c r="L12" s="4">
        <f t="shared" si="0"/>
        <v>0.36052847139648564</v>
      </c>
      <c r="M12" s="4">
        <f t="shared" si="0"/>
        <v>0.64052847139648572</v>
      </c>
      <c r="N12" s="4">
        <f t="shared" si="0"/>
        <v>1.0005284713964857</v>
      </c>
      <c r="O12" s="4">
        <f t="shared" si="0"/>
        <v>1.4405284713964857</v>
      </c>
      <c r="P12" s="4">
        <f t="shared" si="0"/>
        <v>1.9605284713964857</v>
      </c>
    </row>
    <row r="13" spans="1:16" x14ac:dyDescent="0.25">
      <c r="A13" s="3">
        <v>3</v>
      </c>
      <c r="B13" s="4">
        <f t="shared" si="0"/>
        <v>1.9611890606420928</v>
      </c>
      <c r="C13" s="4">
        <f t="shared" si="0"/>
        <v>1.4411890606420927</v>
      </c>
      <c r="D13" s="4">
        <f t="shared" si="0"/>
        <v>1.0011890606420928</v>
      </c>
      <c r="E13" s="4">
        <f t="shared" si="0"/>
        <v>0.6411890606420928</v>
      </c>
      <c r="F13" s="4">
        <f t="shared" si="0"/>
        <v>0.36118906064209272</v>
      </c>
      <c r="G13" s="4">
        <f t="shared" si="0"/>
        <v>0.16118906064209276</v>
      </c>
      <c r="H13" s="4">
        <f t="shared" si="0"/>
        <v>4.1189060642092747E-2</v>
      </c>
      <c r="I13" s="4">
        <f t="shared" si="0"/>
        <v>1.1890606420927466E-3</v>
      </c>
      <c r="J13" s="4">
        <f t="shared" si="0"/>
        <v>4.1189060642092747E-2</v>
      </c>
      <c r="K13" s="4">
        <f t="shared" si="0"/>
        <v>0.16118906064209276</v>
      </c>
      <c r="L13" s="4">
        <f t="shared" si="0"/>
        <v>0.36118906064209272</v>
      </c>
      <c r="M13" s="4">
        <f t="shared" si="0"/>
        <v>0.6411890606420928</v>
      </c>
      <c r="N13" s="4">
        <f t="shared" si="0"/>
        <v>1.0011890606420928</v>
      </c>
      <c r="O13" s="4">
        <f t="shared" si="0"/>
        <v>1.4411890606420927</v>
      </c>
      <c r="P13" s="4">
        <f t="shared" si="0"/>
        <v>1.9611890606420928</v>
      </c>
    </row>
    <row r="14" spans="1:16" x14ac:dyDescent="0.25">
      <c r="A14" s="3">
        <v>4</v>
      </c>
      <c r="B14" s="4">
        <f t="shared" si="0"/>
        <v>1.9621138855859426</v>
      </c>
      <c r="C14" s="4">
        <f t="shared" si="0"/>
        <v>1.4421138855859426</v>
      </c>
      <c r="D14" s="4">
        <f t="shared" si="0"/>
        <v>1.0021138855859426</v>
      </c>
      <c r="E14" s="4">
        <f t="shared" si="0"/>
        <v>0.64211388558594262</v>
      </c>
      <c r="F14" s="4">
        <f t="shared" si="0"/>
        <v>0.36211388558594265</v>
      </c>
      <c r="G14" s="4">
        <f t="shared" si="0"/>
        <v>0.16211388558594267</v>
      </c>
      <c r="H14" s="4">
        <f t="shared" si="0"/>
        <v>4.2113885585942659E-2</v>
      </c>
      <c r="I14" s="4">
        <f t="shared" si="0"/>
        <v>2.113885585942661E-3</v>
      </c>
      <c r="J14" s="4">
        <f t="shared" si="0"/>
        <v>4.2113885585942659E-2</v>
      </c>
      <c r="K14" s="4">
        <f t="shared" si="0"/>
        <v>0.16211388558594267</v>
      </c>
      <c r="L14" s="4">
        <f t="shared" si="0"/>
        <v>0.36211388558594265</v>
      </c>
      <c r="M14" s="4">
        <f t="shared" si="0"/>
        <v>0.64211388558594262</v>
      </c>
      <c r="N14" s="4">
        <f t="shared" si="0"/>
        <v>1.0021138855859426</v>
      </c>
      <c r="O14" s="4">
        <f t="shared" si="0"/>
        <v>1.4421138855859426</v>
      </c>
      <c r="P14" s="4">
        <f t="shared" si="0"/>
        <v>1.9621138855859426</v>
      </c>
    </row>
    <row r="15" spans="1:16" x14ac:dyDescent="0.25">
      <c r="A15" s="3">
        <v>5</v>
      </c>
      <c r="B15" s="4">
        <f t="shared" si="0"/>
        <v>1.9633029462280354</v>
      </c>
      <c r="C15" s="4">
        <f t="shared" si="0"/>
        <v>1.4433029462280353</v>
      </c>
      <c r="D15" s="4">
        <f t="shared" si="0"/>
        <v>1.0033029462280354</v>
      </c>
      <c r="E15" s="4">
        <f t="shared" si="0"/>
        <v>0.64330294622803541</v>
      </c>
      <c r="F15" s="4">
        <f t="shared" si="0"/>
        <v>0.36330294622803538</v>
      </c>
      <c r="G15" s="4">
        <f t="shared" si="0"/>
        <v>0.1633029462280354</v>
      </c>
      <c r="H15" s="4">
        <f t="shared" si="0"/>
        <v>4.3302946228035405E-2</v>
      </c>
      <c r="I15" s="4">
        <f t="shared" si="0"/>
        <v>3.3029462280354076E-3</v>
      </c>
      <c r="J15" s="4">
        <f t="shared" si="0"/>
        <v>4.3302946228035405E-2</v>
      </c>
      <c r="K15" s="4">
        <f t="shared" si="0"/>
        <v>0.1633029462280354</v>
      </c>
      <c r="L15" s="4">
        <f t="shared" si="0"/>
        <v>0.36330294622803538</v>
      </c>
      <c r="M15" s="4">
        <f t="shared" si="0"/>
        <v>0.64330294622803541</v>
      </c>
      <c r="N15" s="4">
        <f t="shared" si="0"/>
        <v>1.0033029462280354</v>
      </c>
      <c r="O15" s="4">
        <f t="shared" si="0"/>
        <v>1.4433029462280353</v>
      </c>
      <c r="P15" s="4">
        <f t="shared" si="0"/>
        <v>1.9633029462280354</v>
      </c>
    </row>
    <row r="16" spans="1:16" x14ac:dyDescent="0.25">
      <c r="A16"/>
    </row>
  </sheetData>
  <pageMargins left="0.7" right="0.7" top="0.75" bottom="0.75" header="0.3" footer="0.3"/>
  <pageSetup paperSize="9" orientation="portrait" horizontalDpi="4294967293" verticalDpi="0" r:id="rId1"/>
  <headerFooter>
    <oddHeader>&amp;CКочеткова Мария Павловна
группа2.2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Задание 2.0</vt:lpstr>
      <vt:lpstr>Задание 2.1</vt:lpstr>
      <vt:lpstr>Задание 2.2</vt:lpstr>
      <vt:lpstr>Задание 2.2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Кочеткова</dc:creator>
  <cp:lastModifiedBy>Мария Кочеткова</cp:lastModifiedBy>
  <dcterms:created xsi:type="dcterms:W3CDTF">2015-06-05T18:19:34Z</dcterms:created>
  <dcterms:modified xsi:type="dcterms:W3CDTF">2022-09-22T19:44:45Z</dcterms:modified>
</cp:coreProperties>
</file>
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686741\Desktop\"/>
    </mc:Choice>
  </mc:AlternateContent>
  <xr:revisionPtr revIDLastSave="0" documentId="13_ncr:1_{C7471397-11A5-4203-8A5E-87044F2E55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задание1" sheetId="1" r:id="rId1"/>
    <sheet name="задание2" sheetId="2" r:id="rId2"/>
    <sheet name="задание3" sheetId="3" r:id="rId3"/>
    <sheet name="задание4" sheetId="4" r:id="rId4"/>
    <sheet name="задание5" sheetId="5" r:id="rId5"/>
    <sheet name="задание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3" i="6" l="1" a="1"/>
  <c r="P13" i="6"/>
  <c r="Q13" i="6"/>
  <c r="R13" i="6"/>
  <c r="S13" i="6"/>
  <c r="T13" i="6"/>
  <c r="P14" i="6"/>
  <c r="Q14" i="6"/>
  <c r="R14" i="6"/>
  <c r="S14" i="6"/>
  <c r="T14" i="6"/>
  <c r="P15" i="6"/>
  <c r="Q15" i="6"/>
  <c r="R15" i="6"/>
  <c r="S15" i="6"/>
  <c r="T15" i="6"/>
  <c r="P16" i="6"/>
  <c r="Q16" i="6"/>
  <c r="R16" i="6"/>
  <c r="S16" i="6"/>
  <c r="T16" i="6"/>
  <c r="P17" i="6"/>
  <c r="Q17" i="6"/>
  <c r="R17" i="6"/>
  <c r="S17" i="6"/>
  <c r="T17" i="6"/>
  <c r="K13" i="6" a="1"/>
  <c r="L13" i="6" s="1"/>
  <c r="G13" i="6" a="1"/>
  <c r="G13" i="6" s="1"/>
  <c r="D13" i="6" a="1"/>
  <c r="D13" i="6" s="1"/>
  <c r="A13" i="6"/>
  <c r="Q11" i="5"/>
  <c r="L10" i="5"/>
  <c r="H9" i="5"/>
  <c r="E8" i="5"/>
  <c r="B7" i="5"/>
  <c r="R13" i="4" a="1"/>
  <c r="R13" i="4" s="1"/>
  <c r="M13" i="4" a="1"/>
  <c r="N13" i="4" s="1"/>
  <c r="G13" i="4" a="1"/>
  <c r="G13" i="4" s="1"/>
  <c r="A13" i="4" a="1"/>
  <c r="B13" i="4" s="1"/>
  <c r="G21" i="3" a="1"/>
  <c r="H21" i="3" s="1"/>
  <c r="A21" i="3" a="1"/>
  <c r="A21" i="3" s="1"/>
  <c r="M13" i="3" a="1"/>
  <c r="M13" i="3" s="1"/>
  <c r="O13" i="3"/>
  <c r="P13" i="3"/>
  <c r="M14" i="3"/>
  <c r="N14" i="3"/>
  <c r="O14" i="3"/>
  <c r="Q14" i="3"/>
  <c r="M15" i="3"/>
  <c r="N15" i="3"/>
  <c r="P15" i="3"/>
  <c r="Q15" i="3"/>
  <c r="M16" i="3"/>
  <c r="O16" i="3"/>
  <c r="P16" i="3"/>
  <c r="Q16" i="3"/>
  <c r="G13" i="3" a="1"/>
  <c r="G13" i="3" s="1"/>
  <c r="A13" i="3" a="1"/>
  <c r="A13" i="3" s="1"/>
  <c r="G8" i="2" a="1"/>
  <c r="G8" i="2" s="1"/>
  <c r="A8" i="2" a="1"/>
  <c r="B8" i="2" s="1"/>
  <c r="A12" i="2"/>
  <c r="E12" i="2"/>
  <c r="H3" i="2" a="1"/>
  <c r="H3" i="2" s="1"/>
  <c r="D3" i="2" a="1"/>
  <c r="D3" i="2" s="1"/>
  <c r="A3" i="2" a="1"/>
  <c r="A3" i="2" s="1"/>
  <c r="A4" i="2"/>
  <c r="B4" i="2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G64" i="1"/>
  <c r="G65" i="1"/>
  <c r="G66" i="1"/>
  <c r="G63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A64" i="1"/>
  <c r="A65" i="1"/>
  <c r="A66" i="1"/>
  <c r="A63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M59" i="1"/>
  <c r="M56" i="1"/>
  <c r="M57" i="1"/>
  <c r="M58" i="1"/>
  <c r="M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H55" i="1"/>
  <c r="I55" i="1"/>
  <c r="J55" i="1"/>
  <c r="K55" i="1"/>
  <c r="G55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A56" i="1"/>
  <c r="A57" i="1"/>
  <c r="A58" i="1"/>
  <c r="A59" i="1"/>
  <c r="A5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G47" i="1"/>
  <c r="G48" i="1"/>
  <c r="G49" i="1"/>
  <c r="G46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A47" i="1"/>
  <c r="A48" i="1"/>
  <c r="A49" i="1"/>
  <c r="A46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M39" i="1"/>
  <c r="M40" i="1"/>
  <c r="M41" i="1"/>
  <c r="M42" i="1"/>
  <c r="M38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G39" i="1"/>
  <c r="G40" i="1"/>
  <c r="G41" i="1"/>
  <c r="G42" i="1"/>
  <c r="G38" i="1"/>
  <c r="A39" i="1"/>
  <c r="B39" i="1"/>
  <c r="C39" i="1"/>
  <c r="D39" i="1"/>
  <c r="E39" i="1"/>
  <c r="A40" i="1"/>
  <c r="B40" i="1"/>
  <c r="C40" i="1"/>
  <c r="D40" i="1"/>
  <c r="E40" i="1"/>
  <c r="A41" i="1"/>
  <c r="B41" i="1"/>
  <c r="C41" i="1"/>
  <c r="D41" i="1"/>
  <c r="E41" i="1"/>
  <c r="A42" i="1"/>
  <c r="B42" i="1"/>
  <c r="C42" i="1"/>
  <c r="D42" i="1"/>
  <c r="E42" i="1"/>
  <c r="B38" i="1"/>
  <c r="C38" i="1"/>
  <c r="D38" i="1"/>
  <c r="E38" i="1"/>
  <c r="A38" i="1"/>
  <c r="A20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H28" i="1"/>
  <c r="I28" i="1"/>
  <c r="J28" i="1"/>
  <c r="K28" i="1"/>
  <c r="G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B28" i="1"/>
  <c r="C28" i="1"/>
  <c r="D28" i="1"/>
  <c r="E28" i="1"/>
  <c r="A28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N20" i="1"/>
  <c r="O20" i="1"/>
  <c r="P20" i="1"/>
  <c r="Q20" i="1"/>
  <c r="M20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G21" i="1"/>
  <c r="G22" i="1"/>
  <c r="G23" i="1"/>
  <c r="G24" i="1"/>
  <c r="G20" i="1"/>
  <c r="M16" i="6" l="1"/>
  <c r="M15" i="6"/>
  <c r="M14" i="6"/>
  <c r="M13" i="6"/>
  <c r="K16" i="6"/>
  <c r="K15" i="6"/>
  <c r="K14" i="6"/>
  <c r="K13" i="6"/>
  <c r="N16" i="6"/>
  <c r="N15" i="6"/>
  <c r="N14" i="6"/>
  <c r="N13" i="6"/>
  <c r="L16" i="6"/>
  <c r="L15" i="6"/>
  <c r="L14" i="6"/>
  <c r="G14" i="6"/>
  <c r="G15" i="6"/>
  <c r="I13" i="6"/>
  <c r="H15" i="6"/>
  <c r="I14" i="6"/>
  <c r="H13" i="6"/>
  <c r="I15" i="6"/>
  <c r="H14" i="6"/>
  <c r="E14" i="6"/>
  <c r="D14" i="6"/>
  <c r="E13" i="6"/>
  <c r="U16" i="4"/>
  <c r="V15" i="4"/>
  <c r="R15" i="4"/>
  <c r="S14" i="4"/>
  <c r="T13" i="4"/>
  <c r="V16" i="4"/>
  <c r="R16" i="4"/>
  <c r="S15" i="4"/>
  <c r="T14" i="4"/>
  <c r="U13" i="4"/>
  <c r="T16" i="4"/>
  <c r="U15" i="4"/>
  <c r="V14" i="4"/>
  <c r="R14" i="4"/>
  <c r="S13" i="4"/>
  <c r="S16" i="4"/>
  <c r="T15" i="4"/>
  <c r="U14" i="4"/>
  <c r="V13" i="4"/>
  <c r="O17" i="4"/>
  <c r="O16" i="4"/>
  <c r="O15" i="4"/>
  <c r="O14" i="4"/>
  <c r="O13" i="4"/>
  <c r="M17" i="4"/>
  <c r="M16" i="4"/>
  <c r="M15" i="4"/>
  <c r="M14" i="4"/>
  <c r="M13" i="4"/>
  <c r="P17" i="4"/>
  <c r="P16" i="4"/>
  <c r="P15" i="4"/>
  <c r="P14" i="4"/>
  <c r="P13" i="4"/>
  <c r="N17" i="4"/>
  <c r="N16" i="4"/>
  <c r="N15" i="4"/>
  <c r="N14" i="4"/>
  <c r="I17" i="4"/>
  <c r="J16" i="4"/>
  <c r="K15" i="4"/>
  <c r="G15" i="4"/>
  <c r="H14" i="4"/>
  <c r="I13" i="4"/>
  <c r="J17" i="4"/>
  <c r="K16" i="4"/>
  <c r="G16" i="4"/>
  <c r="H15" i="4"/>
  <c r="I14" i="4"/>
  <c r="J13" i="4"/>
  <c r="H17" i="4"/>
  <c r="I16" i="4"/>
  <c r="J15" i="4"/>
  <c r="K14" i="4"/>
  <c r="G14" i="4"/>
  <c r="H13" i="4"/>
  <c r="K17" i="4"/>
  <c r="G17" i="4"/>
  <c r="H16" i="4"/>
  <c r="I15" i="4"/>
  <c r="J14" i="4"/>
  <c r="K13" i="4"/>
  <c r="C17" i="4"/>
  <c r="D16" i="4"/>
  <c r="E15" i="4"/>
  <c r="A15" i="4"/>
  <c r="B14" i="4"/>
  <c r="C13" i="4"/>
  <c r="E17" i="4"/>
  <c r="A17" i="4"/>
  <c r="B16" i="4"/>
  <c r="C15" i="4"/>
  <c r="D14" i="4"/>
  <c r="E13" i="4"/>
  <c r="A13" i="4"/>
  <c r="D17" i="4"/>
  <c r="E16" i="4"/>
  <c r="A16" i="4"/>
  <c r="B15" i="4"/>
  <c r="C14" i="4"/>
  <c r="D13" i="4"/>
  <c r="B17" i="4"/>
  <c r="C16" i="4"/>
  <c r="D15" i="4"/>
  <c r="E14" i="4"/>
  <c r="A14" i="4"/>
  <c r="J24" i="3"/>
  <c r="K23" i="3"/>
  <c r="G23" i="3"/>
  <c r="H22" i="3"/>
  <c r="I21" i="3"/>
  <c r="H24" i="3"/>
  <c r="I23" i="3"/>
  <c r="J22" i="3"/>
  <c r="K21" i="3"/>
  <c r="G21" i="3"/>
  <c r="K24" i="3"/>
  <c r="G24" i="3"/>
  <c r="H23" i="3"/>
  <c r="I22" i="3"/>
  <c r="J21" i="3"/>
  <c r="I24" i="3"/>
  <c r="J23" i="3"/>
  <c r="K22" i="3"/>
  <c r="G22" i="3"/>
  <c r="D21" i="3"/>
  <c r="C25" i="3"/>
  <c r="C24" i="3"/>
  <c r="C23" i="3"/>
  <c r="C22" i="3"/>
  <c r="C21" i="3"/>
  <c r="D25" i="3"/>
  <c r="D23" i="3"/>
  <c r="B25" i="3"/>
  <c r="B24" i="3"/>
  <c r="B23" i="3"/>
  <c r="B22" i="3"/>
  <c r="B21" i="3"/>
  <c r="D24" i="3"/>
  <c r="D22" i="3"/>
  <c r="A25" i="3"/>
  <c r="A24" i="3"/>
  <c r="A23" i="3"/>
  <c r="A22" i="3"/>
  <c r="N13" i="3"/>
  <c r="N16" i="3"/>
  <c r="O15" i="3"/>
  <c r="P14" i="3"/>
  <c r="Q13" i="3"/>
  <c r="G16" i="3"/>
  <c r="J13" i="3"/>
  <c r="I17" i="3"/>
  <c r="J16" i="3"/>
  <c r="K15" i="3"/>
  <c r="G15" i="3"/>
  <c r="H14" i="3"/>
  <c r="I13" i="3"/>
  <c r="J17" i="3"/>
  <c r="I14" i="3"/>
  <c r="H17" i="3"/>
  <c r="I16" i="3"/>
  <c r="J15" i="3"/>
  <c r="K14" i="3"/>
  <c r="G14" i="3"/>
  <c r="H13" i="3"/>
  <c r="K16" i="3"/>
  <c r="H15" i="3"/>
  <c r="K17" i="3"/>
  <c r="G17" i="3"/>
  <c r="H16" i="3"/>
  <c r="I15" i="3"/>
  <c r="J14" i="3"/>
  <c r="K13" i="3"/>
  <c r="D17" i="3"/>
  <c r="A16" i="3"/>
  <c r="C14" i="3"/>
  <c r="C17" i="3"/>
  <c r="D16" i="3"/>
  <c r="E15" i="3"/>
  <c r="A15" i="3"/>
  <c r="B14" i="3"/>
  <c r="C13" i="3"/>
  <c r="D13" i="3"/>
  <c r="B17" i="3"/>
  <c r="C16" i="3"/>
  <c r="D15" i="3"/>
  <c r="E14" i="3"/>
  <c r="A14" i="3"/>
  <c r="B13" i="3"/>
  <c r="E16" i="3"/>
  <c r="B15" i="3"/>
  <c r="E17" i="3"/>
  <c r="A17" i="3"/>
  <c r="B16" i="3"/>
  <c r="C15" i="3"/>
  <c r="D14" i="3"/>
  <c r="E13" i="3"/>
  <c r="K13" i="2"/>
  <c r="G13" i="2"/>
  <c r="I12" i="2"/>
  <c r="K11" i="2"/>
  <c r="G11" i="2"/>
  <c r="I10" i="2"/>
  <c r="K9" i="2"/>
  <c r="G9" i="2"/>
  <c r="I8" i="2"/>
  <c r="L13" i="2"/>
  <c r="H13" i="2"/>
  <c r="J12" i="2"/>
  <c r="L11" i="2"/>
  <c r="H11" i="2"/>
  <c r="J10" i="2"/>
  <c r="L9" i="2"/>
  <c r="H9" i="2"/>
  <c r="J8" i="2"/>
  <c r="J13" i="2"/>
  <c r="L12" i="2"/>
  <c r="H12" i="2"/>
  <c r="J11" i="2"/>
  <c r="L10" i="2"/>
  <c r="H10" i="2"/>
  <c r="J9" i="2"/>
  <c r="L8" i="2"/>
  <c r="H8" i="2"/>
  <c r="I13" i="2"/>
  <c r="K12" i="2"/>
  <c r="G12" i="2"/>
  <c r="I11" i="2"/>
  <c r="K10" i="2"/>
  <c r="G10" i="2"/>
  <c r="I9" i="2"/>
  <c r="K8" i="2"/>
  <c r="C12" i="2"/>
  <c r="D11" i="2"/>
  <c r="E10" i="2"/>
  <c r="A10" i="2"/>
  <c r="B9" i="2"/>
  <c r="C8" i="2"/>
  <c r="B11" i="2"/>
  <c r="C10" i="2"/>
  <c r="D9" i="2"/>
  <c r="E8" i="2"/>
  <c r="A8" i="2"/>
  <c r="D12" i="2"/>
  <c r="E11" i="2"/>
  <c r="A11" i="2"/>
  <c r="B10" i="2"/>
  <c r="C9" i="2"/>
  <c r="D8" i="2"/>
  <c r="B12" i="2"/>
  <c r="C11" i="2"/>
  <c r="D10" i="2"/>
  <c r="E9" i="2"/>
  <c r="A9" i="2"/>
  <c r="J6" i="2"/>
  <c r="J5" i="2"/>
  <c r="J4" i="2"/>
  <c r="J3" i="2"/>
  <c r="K6" i="2"/>
  <c r="K5" i="2"/>
  <c r="K4" i="2"/>
  <c r="K3" i="2"/>
  <c r="I6" i="2"/>
  <c r="I5" i="2"/>
  <c r="I4" i="2"/>
  <c r="I3" i="2"/>
  <c r="H6" i="2"/>
  <c r="H5" i="2"/>
  <c r="H4" i="2"/>
  <c r="D5" i="2"/>
  <c r="F3" i="2"/>
  <c r="E5" i="2"/>
  <c r="D4" i="2"/>
  <c r="F4" i="2"/>
  <c r="E3" i="2"/>
  <c r="F5" i="2"/>
  <c r="E4" i="2"/>
  <c r="B3" i="2"/>
  <c r="E20" i="1"/>
  <c r="E21" i="1"/>
  <c r="E22" i="1"/>
  <c r="E23" i="1"/>
  <c r="E24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A21" i="1"/>
  <c r="A22" i="1"/>
  <c r="A23" i="1"/>
  <c r="A24" i="1"/>
</calcChain>
</file>

<file path=xl/sharedStrings.xml><?xml version="1.0" encoding="utf-8"?>
<sst xmlns="http://schemas.openxmlformats.org/spreadsheetml/2006/main" count="66" uniqueCount="44">
  <si>
    <t>Матрица A</t>
  </si>
  <si>
    <t>Матрица B</t>
  </si>
  <si>
    <t>Матрица C</t>
  </si>
  <si>
    <t>Матрица D</t>
  </si>
  <si>
    <t>Матрица E</t>
  </si>
  <si>
    <t>Матрица F</t>
  </si>
  <si>
    <t>сложение</t>
  </si>
  <si>
    <t>Матрица G=A+B</t>
  </si>
  <si>
    <t>Матрица H=A+C</t>
  </si>
  <si>
    <t>Матрица I=B+C</t>
  </si>
  <si>
    <t>вычитание</t>
  </si>
  <si>
    <t>Матрица J=D+E</t>
  </si>
  <si>
    <t>Матрица K=E+F</t>
  </si>
  <si>
    <t>Матрица L=A-B</t>
  </si>
  <si>
    <t>Матрица M=A-C</t>
  </si>
  <si>
    <t>Матрица N=B-C</t>
  </si>
  <si>
    <t>Матрица O=D-E</t>
  </si>
  <si>
    <t>Матрица P=E-F</t>
  </si>
  <si>
    <t>умножение на число</t>
  </si>
  <si>
    <t>Матрица Q= A*5</t>
  </si>
  <si>
    <t>Матрица R= H*3,5</t>
  </si>
  <si>
    <t>Матрица S= I*8</t>
  </si>
  <si>
    <t>Матрица T= O*11</t>
  </si>
  <si>
    <t>Матрица U= P*6,7</t>
  </si>
  <si>
    <t>Единичные матрицы</t>
  </si>
  <si>
    <t xml:space="preserve">умножение </t>
  </si>
  <si>
    <t>Матрица E = A*B</t>
  </si>
  <si>
    <t>Матрица F = B*A</t>
  </si>
  <si>
    <t>Матрица G= C*A</t>
  </si>
  <si>
    <t>Матрица H = B*D</t>
  </si>
  <si>
    <t>Матрица I = C*B</t>
  </si>
  <si>
    <t>транспонирование</t>
  </si>
  <si>
    <r>
      <t>Матрица A</t>
    </r>
    <r>
      <rPr>
        <sz val="11"/>
        <color theme="1"/>
        <rFont val="Calibri"/>
        <family val="2"/>
        <charset val="204"/>
      </rPr>
      <t>ᵀ</t>
    </r>
  </si>
  <si>
    <r>
      <t>Матрица B</t>
    </r>
    <r>
      <rPr>
        <sz val="11"/>
        <color theme="1"/>
        <rFont val="Calibri"/>
        <family val="2"/>
        <charset val="204"/>
      </rPr>
      <t>ᵀ</t>
    </r>
  </si>
  <si>
    <r>
      <t>Матрица C</t>
    </r>
    <r>
      <rPr>
        <sz val="11"/>
        <color theme="1"/>
        <rFont val="Calibri"/>
        <family val="2"/>
        <charset val="204"/>
      </rPr>
      <t>ᵀ</t>
    </r>
  </si>
  <si>
    <r>
      <t>Матрица D</t>
    </r>
    <r>
      <rPr>
        <sz val="11"/>
        <color theme="1"/>
        <rFont val="Calibri"/>
        <family val="2"/>
        <charset val="204"/>
      </rPr>
      <t>ᵀ</t>
    </r>
  </si>
  <si>
    <t>вычисление определителя</t>
  </si>
  <si>
    <t>Опред=</t>
  </si>
  <si>
    <t>обратные матрицы</t>
  </si>
  <si>
    <t>Матрице A</t>
  </si>
  <si>
    <t>Матрице B</t>
  </si>
  <si>
    <t>Матрице C</t>
  </si>
  <si>
    <t>Матрице D</t>
  </si>
  <si>
    <t>Матрице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</si>
</sst>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rgb="FF3F3F3F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rgb="FF3F3F3F"/>
      <name val="Calibri"/>
      <family val="2"/>
      <charset val="204"/>
      <scheme val="minor"/>
    </font>
    <font>
      <sz val="12"/>
      <color rgb="FF3F3F3F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BAE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18">
    <xf numFmtId="0" fontId="0" fillId="0" borderId="0" xfId="0"/>
    <xf numFmtId="0" fontId="3" fillId="0" borderId="0" xfId="0" applyFont="1"/>
    <xf numFmtId="0" fontId="1" fillId="2" borderId="1" xfId="1">
      <alignment horizontal="center" vertical="center"/>
    </xf>
    <xf numFmtId="0" fontId="6" fillId="2" borderId="1" xfId="1" applyFont="1">
      <alignment horizontal="center" vertical="center"/>
    </xf>
    <xf numFmtId="0" fontId="7" fillId="0" borderId="0" xfId="0" applyFont="1"/>
    <xf numFmtId="0" fontId="8" fillId="2" borderId="1" xfId="1" applyFont="1">
      <alignment horizontal="center" vertical="center"/>
    </xf>
    <xf numFmtId="0" fontId="9" fillId="2" borderId="1" xfId="1" applyFont="1">
      <alignment horizontal="center" vertical="center"/>
    </xf>
    <xf numFmtId="0" fontId="3" fillId="0" borderId="0" xfId="0" applyFont="1"/>
    <xf numFmtId="0" fontId="0" fillId="0" borderId="0" xfId="0" applyAlignme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</cellXfs>
  <cellStyles count="2">
    <cellStyle name="да" xfId="1" xr:uid="{DA6F3D55-670E-4F70-87FF-6143E2E10B78}"/>
    <cellStyle name="Обычный" xfId="0" builtinId="0"/>
  </cellStyles>
  <dxfs count="0"/>
  <tableStyles count="0" defaultTableStyle="TableStyleMedium2" defaultPivotStyle="PivotStyleLight16"/>
  <colors>
    <mruColors>
      <color rgb="FFCFBAE0"/>
      <color rgb="FFB79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zoomScale="98" zoomScaleNormal="98" workbookViewId="0">
      <selection activeCell="C1" sqref="C1"/>
    </sheetView>
  </sheetViews>
  <sheetFormatPr defaultRowHeight="15.75" x14ac:dyDescent="0.25"/>
  <cols>
    <col min="1" max="16384" width="9.140625" style="4"/>
  </cols>
  <sheetData>
    <row r="1" spans="1:17" x14ac:dyDescent="0.25">
      <c r="A1" s="9" t="s">
        <v>0</v>
      </c>
      <c r="B1" s="9"/>
      <c r="G1" s="9" t="s">
        <v>1</v>
      </c>
      <c r="H1" s="9"/>
      <c r="M1" s="9" t="s">
        <v>2</v>
      </c>
      <c r="N1" s="9"/>
    </row>
    <row r="3" spans="1:17" x14ac:dyDescent="0.25">
      <c r="A3" s="5">
        <v>-10</v>
      </c>
      <c r="B3" s="5">
        <v>5</v>
      </c>
      <c r="C3" s="5">
        <v>-11</v>
      </c>
      <c r="D3" s="5">
        <v>3</v>
      </c>
      <c r="E3" s="5">
        <v>1</v>
      </c>
      <c r="G3" s="5">
        <v>-12</v>
      </c>
      <c r="H3" s="5">
        <v>-4</v>
      </c>
      <c r="I3" s="5">
        <v>9</v>
      </c>
      <c r="J3" s="5">
        <v>-17</v>
      </c>
      <c r="K3" s="5">
        <v>0</v>
      </c>
      <c r="M3" s="5">
        <v>10</v>
      </c>
      <c r="N3" s="5">
        <v>-14</v>
      </c>
      <c r="O3" s="5">
        <v>14</v>
      </c>
      <c r="P3" s="5">
        <v>5</v>
      </c>
      <c r="Q3" s="5">
        <v>8</v>
      </c>
    </row>
    <row r="4" spans="1:17" x14ac:dyDescent="0.25">
      <c r="A4" s="5">
        <v>3</v>
      </c>
      <c r="B4" s="5">
        <v>1</v>
      </c>
      <c r="C4" s="5">
        <v>8</v>
      </c>
      <c r="D4" s="5">
        <v>11</v>
      </c>
      <c r="E4" s="5">
        <v>9</v>
      </c>
      <c r="G4" s="5">
        <v>-15</v>
      </c>
      <c r="H4" s="5">
        <v>11</v>
      </c>
      <c r="I4" s="5">
        <v>-4</v>
      </c>
      <c r="J4" s="5">
        <v>11</v>
      </c>
      <c r="K4" s="5">
        <v>-15</v>
      </c>
      <c r="M4" s="5">
        <v>20</v>
      </c>
      <c r="N4" s="5">
        <v>19</v>
      </c>
      <c r="O4" s="5">
        <v>-18</v>
      </c>
      <c r="P4" s="5">
        <v>-1</v>
      </c>
      <c r="Q4" s="5">
        <v>11</v>
      </c>
    </row>
    <row r="5" spans="1:17" x14ac:dyDescent="0.25">
      <c r="A5" s="5">
        <v>11</v>
      </c>
      <c r="B5" s="5">
        <v>11</v>
      </c>
      <c r="C5" s="5">
        <v>2</v>
      </c>
      <c r="D5" s="5">
        <v>19</v>
      </c>
      <c r="E5" s="5">
        <v>15</v>
      </c>
      <c r="G5" s="5">
        <v>-10</v>
      </c>
      <c r="H5" s="5">
        <v>18</v>
      </c>
      <c r="I5" s="5">
        <v>14</v>
      </c>
      <c r="J5" s="5">
        <v>-18</v>
      </c>
      <c r="K5" s="5">
        <v>-11</v>
      </c>
      <c r="M5" s="5">
        <v>-9</v>
      </c>
      <c r="N5" s="5">
        <v>-6</v>
      </c>
      <c r="O5" s="5">
        <v>-5</v>
      </c>
      <c r="P5" s="5">
        <v>1</v>
      </c>
      <c r="Q5" s="5">
        <v>2</v>
      </c>
    </row>
    <row r="6" spans="1:17" x14ac:dyDescent="0.25">
      <c r="A6" s="5">
        <v>-17</v>
      </c>
      <c r="B6" s="5">
        <v>10</v>
      </c>
      <c r="C6" s="5">
        <v>18</v>
      </c>
      <c r="D6" s="5">
        <v>-9</v>
      </c>
      <c r="E6" s="5">
        <v>15</v>
      </c>
      <c r="G6" s="5">
        <v>4</v>
      </c>
      <c r="H6" s="5">
        <v>-15</v>
      </c>
      <c r="I6" s="5">
        <v>-19</v>
      </c>
      <c r="J6" s="5">
        <v>7</v>
      </c>
      <c r="K6" s="5">
        <v>4</v>
      </c>
      <c r="M6" s="5">
        <v>11</v>
      </c>
      <c r="N6" s="5">
        <v>17</v>
      </c>
      <c r="O6" s="5">
        <v>-13</v>
      </c>
      <c r="P6" s="5">
        <v>-20</v>
      </c>
      <c r="Q6" s="5">
        <v>5</v>
      </c>
    </row>
    <row r="7" spans="1:17" x14ac:dyDescent="0.25">
      <c r="A7" s="5">
        <v>-9</v>
      </c>
      <c r="B7" s="5">
        <v>14</v>
      </c>
      <c r="C7" s="5">
        <v>-10</v>
      </c>
      <c r="D7" s="5">
        <v>-10</v>
      </c>
      <c r="E7" s="5">
        <v>-6</v>
      </c>
      <c r="G7" s="5">
        <v>19</v>
      </c>
      <c r="H7" s="5">
        <v>14</v>
      </c>
      <c r="I7" s="5">
        <v>-17</v>
      </c>
      <c r="J7" s="5">
        <v>10</v>
      </c>
      <c r="K7" s="5">
        <v>5</v>
      </c>
      <c r="M7" s="5">
        <v>4</v>
      </c>
      <c r="N7" s="5">
        <v>-8</v>
      </c>
      <c r="O7" s="5">
        <v>9</v>
      </c>
      <c r="P7" s="5">
        <v>2</v>
      </c>
      <c r="Q7" s="5">
        <v>-16</v>
      </c>
    </row>
    <row r="9" spans="1:17" x14ac:dyDescent="0.25">
      <c r="A9" s="9" t="s">
        <v>3</v>
      </c>
      <c r="B9" s="9"/>
      <c r="G9" s="9" t="s">
        <v>4</v>
      </c>
      <c r="H9" s="9"/>
      <c r="M9" s="9" t="s">
        <v>5</v>
      </c>
      <c r="N9" s="9"/>
    </row>
    <row r="11" spans="1:17" x14ac:dyDescent="0.25">
      <c r="A11" s="5">
        <v>-18</v>
      </c>
      <c r="B11" s="5">
        <v>-8</v>
      </c>
      <c r="C11" s="5">
        <v>20</v>
      </c>
      <c r="D11" s="5">
        <v>12</v>
      </c>
      <c r="E11" s="5">
        <v>-8</v>
      </c>
      <c r="G11" s="5">
        <v>-15</v>
      </c>
      <c r="H11" s="5">
        <v>0</v>
      </c>
      <c r="I11" s="5">
        <v>1</v>
      </c>
      <c r="J11" s="5">
        <v>-1</v>
      </c>
      <c r="K11" s="5">
        <v>10</v>
      </c>
      <c r="M11" s="5">
        <v>5</v>
      </c>
      <c r="N11" s="5">
        <v>-8</v>
      </c>
      <c r="O11" s="5">
        <v>-3</v>
      </c>
      <c r="P11" s="5">
        <v>13</v>
      </c>
      <c r="Q11" s="5">
        <v>12</v>
      </c>
    </row>
    <row r="12" spans="1:17" x14ac:dyDescent="0.25">
      <c r="A12" s="5">
        <v>-12</v>
      </c>
      <c r="B12" s="5">
        <v>1</v>
      </c>
      <c r="C12" s="5">
        <v>-1</v>
      </c>
      <c r="D12" s="5">
        <v>-14</v>
      </c>
      <c r="E12" s="5">
        <v>18</v>
      </c>
      <c r="G12" s="5">
        <v>-2</v>
      </c>
      <c r="H12" s="5">
        <v>-3</v>
      </c>
      <c r="I12" s="5">
        <v>-2</v>
      </c>
      <c r="J12" s="5">
        <v>6</v>
      </c>
      <c r="K12" s="5">
        <v>12</v>
      </c>
      <c r="M12" s="5">
        <v>12</v>
      </c>
      <c r="N12" s="5">
        <v>-8</v>
      </c>
      <c r="O12" s="5">
        <v>13</v>
      </c>
      <c r="P12" s="5">
        <v>19</v>
      </c>
      <c r="Q12" s="5">
        <v>5</v>
      </c>
    </row>
    <row r="13" spans="1:17" x14ac:dyDescent="0.25">
      <c r="A13" s="5">
        <v>17</v>
      </c>
      <c r="B13" s="5">
        <v>-4</v>
      </c>
      <c r="C13" s="5">
        <v>7</v>
      </c>
      <c r="D13" s="5">
        <v>-7</v>
      </c>
      <c r="E13" s="5">
        <v>20</v>
      </c>
      <c r="G13" s="5">
        <v>2</v>
      </c>
      <c r="H13" s="5">
        <v>-4</v>
      </c>
      <c r="I13" s="5">
        <v>1</v>
      </c>
      <c r="J13" s="5">
        <v>9</v>
      </c>
      <c r="K13" s="5">
        <v>-13</v>
      </c>
      <c r="M13" s="5">
        <v>5</v>
      </c>
      <c r="N13" s="5">
        <v>-12</v>
      </c>
      <c r="O13" s="5">
        <v>-18</v>
      </c>
      <c r="P13" s="5">
        <v>-2</v>
      </c>
      <c r="Q13" s="5">
        <v>-3</v>
      </c>
    </row>
    <row r="14" spans="1:17" x14ac:dyDescent="0.25">
      <c r="A14" s="5">
        <v>13</v>
      </c>
      <c r="B14" s="5">
        <v>-13</v>
      </c>
      <c r="C14" s="5">
        <v>15</v>
      </c>
      <c r="D14" s="5">
        <v>4</v>
      </c>
      <c r="E14" s="5">
        <v>-20</v>
      </c>
      <c r="G14" s="5">
        <v>18</v>
      </c>
      <c r="H14" s="5">
        <v>-2</v>
      </c>
      <c r="I14" s="5">
        <v>2</v>
      </c>
      <c r="J14" s="5">
        <v>5</v>
      </c>
      <c r="K14" s="5">
        <v>-7</v>
      </c>
      <c r="M14" s="5">
        <v>5</v>
      </c>
      <c r="N14" s="5">
        <v>5</v>
      </c>
      <c r="O14" s="5">
        <v>6</v>
      </c>
      <c r="P14" s="5">
        <v>-12</v>
      </c>
      <c r="Q14" s="5">
        <v>8</v>
      </c>
    </row>
    <row r="16" spans="1:17" x14ac:dyDescent="0.25">
      <c r="A16" s="10" t="s">
        <v>6</v>
      </c>
      <c r="B16" s="11"/>
      <c r="C16" s="11"/>
    </row>
    <row r="18" spans="1:17" x14ac:dyDescent="0.25">
      <c r="A18" s="9" t="s">
        <v>7</v>
      </c>
      <c r="B18" s="9"/>
      <c r="G18" s="9" t="s">
        <v>8</v>
      </c>
      <c r="H18" s="9"/>
      <c r="M18" s="9" t="s">
        <v>9</v>
      </c>
      <c r="N18" s="9"/>
    </row>
    <row r="20" spans="1:17" x14ac:dyDescent="0.25">
      <c r="A20" s="5">
        <f>A3+G3</f>
        <v>-22</v>
      </c>
      <c r="B20" s="5">
        <f t="shared" ref="B20:E24" si="0">B3+H3</f>
        <v>1</v>
      </c>
      <c r="C20" s="5">
        <f t="shared" si="0"/>
        <v>-2</v>
      </c>
      <c r="D20" s="5">
        <f t="shared" si="0"/>
        <v>-14</v>
      </c>
      <c r="E20" s="5">
        <f>E3+K3</f>
        <v>1</v>
      </c>
      <c r="G20" s="5">
        <f>A3+M3</f>
        <v>0</v>
      </c>
      <c r="H20" s="5">
        <f t="shared" ref="H20:K24" si="1">B3+N3</f>
        <v>-9</v>
      </c>
      <c r="I20" s="5">
        <f t="shared" si="1"/>
        <v>3</v>
      </c>
      <c r="J20" s="5">
        <f t="shared" si="1"/>
        <v>8</v>
      </c>
      <c r="K20" s="5">
        <f t="shared" si="1"/>
        <v>9</v>
      </c>
      <c r="M20" s="5">
        <f>G3+M3</f>
        <v>-2</v>
      </c>
      <c r="N20" s="5">
        <f t="shared" ref="N20:Q20" si="2">H3+N3</f>
        <v>-18</v>
      </c>
      <c r="O20" s="5">
        <f t="shared" si="2"/>
        <v>23</v>
      </c>
      <c r="P20" s="5">
        <f t="shared" si="2"/>
        <v>-12</v>
      </c>
      <c r="Q20" s="5">
        <f t="shared" si="2"/>
        <v>8</v>
      </c>
    </row>
    <row r="21" spans="1:17" x14ac:dyDescent="0.25">
      <c r="A21" s="5">
        <f t="shared" ref="A21:A24" si="3">A4+G4</f>
        <v>-12</v>
      </c>
      <c r="B21" s="5">
        <f t="shared" si="0"/>
        <v>12</v>
      </c>
      <c r="C21" s="5">
        <f t="shared" si="0"/>
        <v>4</v>
      </c>
      <c r="D21" s="5">
        <f t="shared" si="0"/>
        <v>22</v>
      </c>
      <c r="E21" s="5">
        <f t="shared" si="0"/>
        <v>-6</v>
      </c>
      <c r="G21" s="5">
        <f t="shared" ref="G21:G24" si="4">A4+M4</f>
        <v>23</v>
      </c>
      <c r="H21" s="5">
        <f t="shared" si="1"/>
        <v>20</v>
      </c>
      <c r="I21" s="5">
        <f t="shared" si="1"/>
        <v>-10</v>
      </c>
      <c r="J21" s="5">
        <f t="shared" si="1"/>
        <v>10</v>
      </c>
      <c r="K21" s="5">
        <f t="shared" si="1"/>
        <v>20</v>
      </c>
      <c r="M21" s="5">
        <f t="shared" ref="M21:M24" si="5">G4+M4</f>
        <v>5</v>
      </c>
      <c r="N21" s="5">
        <f t="shared" ref="N21:N24" si="6">H4+N4</f>
        <v>30</v>
      </c>
      <c r="O21" s="5">
        <f t="shared" ref="O21:O24" si="7">I4+O4</f>
        <v>-22</v>
      </c>
      <c r="P21" s="5">
        <f t="shared" ref="P21:P24" si="8">J4+P4</f>
        <v>10</v>
      </c>
      <c r="Q21" s="5">
        <f t="shared" ref="Q21:Q24" si="9">K4+Q4</f>
        <v>-4</v>
      </c>
    </row>
    <row r="22" spans="1:17" x14ac:dyDescent="0.25">
      <c r="A22" s="5">
        <f t="shared" si="3"/>
        <v>1</v>
      </c>
      <c r="B22" s="5">
        <f t="shared" si="0"/>
        <v>29</v>
      </c>
      <c r="C22" s="5">
        <f t="shared" si="0"/>
        <v>16</v>
      </c>
      <c r="D22" s="5">
        <f t="shared" si="0"/>
        <v>1</v>
      </c>
      <c r="E22" s="5">
        <f t="shared" si="0"/>
        <v>4</v>
      </c>
      <c r="G22" s="5">
        <f t="shared" si="4"/>
        <v>2</v>
      </c>
      <c r="H22" s="5">
        <f t="shared" si="1"/>
        <v>5</v>
      </c>
      <c r="I22" s="5">
        <f t="shared" si="1"/>
        <v>-3</v>
      </c>
      <c r="J22" s="5">
        <f t="shared" si="1"/>
        <v>20</v>
      </c>
      <c r="K22" s="5">
        <f t="shared" si="1"/>
        <v>17</v>
      </c>
      <c r="M22" s="5">
        <f t="shared" si="5"/>
        <v>-19</v>
      </c>
      <c r="N22" s="5">
        <f t="shared" si="6"/>
        <v>12</v>
      </c>
      <c r="O22" s="5">
        <f t="shared" si="7"/>
        <v>9</v>
      </c>
      <c r="P22" s="5">
        <f t="shared" si="8"/>
        <v>-17</v>
      </c>
      <c r="Q22" s="5">
        <f t="shared" si="9"/>
        <v>-9</v>
      </c>
    </row>
    <row r="23" spans="1:17" x14ac:dyDescent="0.25">
      <c r="A23" s="5">
        <f t="shared" si="3"/>
        <v>-13</v>
      </c>
      <c r="B23" s="5">
        <f t="shared" si="0"/>
        <v>-5</v>
      </c>
      <c r="C23" s="5">
        <f t="shared" si="0"/>
        <v>-1</v>
      </c>
      <c r="D23" s="5">
        <f t="shared" si="0"/>
        <v>-2</v>
      </c>
      <c r="E23" s="5">
        <f t="shared" si="0"/>
        <v>19</v>
      </c>
      <c r="G23" s="5">
        <f t="shared" si="4"/>
        <v>-6</v>
      </c>
      <c r="H23" s="5">
        <f t="shared" si="1"/>
        <v>27</v>
      </c>
      <c r="I23" s="5">
        <f t="shared" si="1"/>
        <v>5</v>
      </c>
      <c r="J23" s="5">
        <f t="shared" si="1"/>
        <v>-29</v>
      </c>
      <c r="K23" s="5">
        <f t="shared" si="1"/>
        <v>20</v>
      </c>
      <c r="M23" s="5">
        <f t="shared" si="5"/>
        <v>15</v>
      </c>
      <c r="N23" s="5">
        <f t="shared" si="6"/>
        <v>2</v>
      </c>
      <c r="O23" s="5">
        <f t="shared" si="7"/>
        <v>-32</v>
      </c>
      <c r="P23" s="5">
        <f t="shared" si="8"/>
        <v>-13</v>
      </c>
      <c r="Q23" s="5">
        <f t="shared" si="9"/>
        <v>9</v>
      </c>
    </row>
    <row r="24" spans="1:17" x14ac:dyDescent="0.25">
      <c r="A24" s="5">
        <f t="shared" si="3"/>
        <v>10</v>
      </c>
      <c r="B24" s="5">
        <f t="shared" si="0"/>
        <v>28</v>
      </c>
      <c r="C24" s="5">
        <f t="shared" si="0"/>
        <v>-27</v>
      </c>
      <c r="D24" s="5">
        <f t="shared" si="0"/>
        <v>0</v>
      </c>
      <c r="E24" s="5">
        <f t="shared" si="0"/>
        <v>-1</v>
      </c>
      <c r="G24" s="5">
        <f t="shared" si="4"/>
        <v>-5</v>
      </c>
      <c r="H24" s="5">
        <f t="shared" si="1"/>
        <v>6</v>
      </c>
      <c r="I24" s="5">
        <f t="shared" si="1"/>
        <v>-1</v>
      </c>
      <c r="J24" s="5">
        <f t="shared" si="1"/>
        <v>-8</v>
      </c>
      <c r="K24" s="5">
        <f t="shared" si="1"/>
        <v>-22</v>
      </c>
      <c r="M24" s="5">
        <f t="shared" si="5"/>
        <v>23</v>
      </c>
      <c r="N24" s="5">
        <f t="shared" si="6"/>
        <v>6</v>
      </c>
      <c r="O24" s="5">
        <f t="shared" si="7"/>
        <v>-8</v>
      </c>
      <c r="P24" s="5">
        <f t="shared" si="8"/>
        <v>12</v>
      </c>
      <c r="Q24" s="5">
        <f t="shared" si="9"/>
        <v>-11</v>
      </c>
    </row>
    <row r="26" spans="1:17" x14ac:dyDescent="0.25">
      <c r="A26" s="9" t="s">
        <v>11</v>
      </c>
      <c r="B26" s="9"/>
      <c r="G26" s="9" t="s">
        <v>12</v>
      </c>
      <c r="H26" s="9"/>
    </row>
    <row r="28" spans="1:17" x14ac:dyDescent="0.25">
      <c r="A28" s="5">
        <f>A11+G11</f>
        <v>-33</v>
      </c>
      <c r="B28" s="5">
        <f t="shared" ref="B28:E28" si="10">B11+H11</f>
        <v>-8</v>
      </c>
      <c r="C28" s="5">
        <f t="shared" si="10"/>
        <v>21</v>
      </c>
      <c r="D28" s="5">
        <f t="shared" si="10"/>
        <v>11</v>
      </c>
      <c r="E28" s="5">
        <f t="shared" si="10"/>
        <v>2</v>
      </c>
      <c r="G28" s="5">
        <f>G11+M11</f>
        <v>-10</v>
      </c>
      <c r="H28" s="5">
        <f t="shared" ref="H28:K28" si="11">H11+N11</f>
        <v>-8</v>
      </c>
      <c r="I28" s="5">
        <f t="shared" si="11"/>
        <v>-2</v>
      </c>
      <c r="J28" s="5">
        <f t="shared" si="11"/>
        <v>12</v>
      </c>
      <c r="K28" s="5">
        <f t="shared" si="11"/>
        <v>22</v>
      </c>
    </row>
    <row r="29" spans="1:17" x14ac:dyDescent="0.25">
      <c r="A29" s="5">
        <f t="shared" ref="A29:A31" si="12">A12+G12</f>
        <v>-14</v>
      </c>
      <c r="B29" s="5">
        <f t="shared" ref="B29:B31" si="13">B12+H12</f>
        <v>-2</v>
      </c>
      <c r="C29" s="5">
        <f t="shared" ref="C29:C31" si="14">C12+I12</f>
        <v>-3</v>
      </c>
      <c r="D29" s="5">
        <f t="shared" ref="D29:D31" si="15">D12+J12</f>
        <v>-8</v>
      </c>
      <c r="E29" s="5">
        <f t="shared" ref="E29:E31" si="16">E12+K12</f>
        <v>30</v>
      </c>
      <c r="G29" s="5">
        <f t="shared" ref="G29:G31" si="17">G12+M12</f>
        <v>10</v>
      </c>
      <c r="H29" s="5">
        <f t="shared" ref="H29:H31" si="18">H12+N12</f>
        <v>-11</v>
      </c>
      <c r="I29" s="5">
        <f t="shared" ref="I29:I31" si="19">I12+O12</f>
        <v>11</v>
      </c>
      <c r="J29" s="5">
        <f t="shared" ref="J29:J31" si="20">J12+P12</f>
        <v>25</v>
      </c>
      <c r="K29" s="5">
        <f t="shared" ref="K29:K31" si="21">K12+Q12</f>
        <v>17</v>
      </c>
    </row>
    <row r="30" spans="1:17" x14ac:dyDescent="0.25">
      <c r="A30" s="5">
        <f t="shared" si="12"/>
        <v>19</v>
      </c>
      <c r="B30" s="5">
        <f t="shared" si="13"/>
        <v>-8</v>
      </c>
      <c r="C30" s="5">
        <f t="shared" si="14"/>
        <v>8</v>
      </c>
      <c r="D30" s="5">
        <f t="shared" si="15"/>
        <v>2</v>
      </c>
      <c r="E30" s="5">
        <f t="shared" si="16"/>
        <v>7</v>
      </c>
      <c r="G30" s="5">
        <f t="shared" si="17"/>
        <v>7</v>
      </c>
      <c r="H30" s="5">
        <f t="shared" si="18"/>
        <v>-16</v>
      </c>
      <c r="I30" s="5">
        <f t="shared" si="19"/>
        <v>-17</v>
      </c>
      <c r="J30" s="5">
        <f t="shared" si="20"/>
        <v>7</v>
      </c>
      <c r="K30" s="5">
        <f t="shared" si="21"/>
        <v>-16</v>
      </c>
    </row>
    <row r="31" spans="1:17" x14ac:dyDescent="0.25">
      <c r="A31" s="5">
        <f t="shared" si="12"/>
        <v>31</v>
      </c>
      <c r="B31" s="5">
        <f t="shared" si="13"/>
        <v>-15</v>
      </c>
      <c r="C31" s="5">
        <f t="shared" si="14"/>
        <v>17</v>
      </c>
      <c r="D31" s="5">
        <f t="shared" si="15"/>
        <v>9</v>
      </c>
      <c r="E31" s="5">
        <f t="shared" si="16"/>
        <v>-27</v>
      </c>
      <c r="G31" s="5">
        <f t="shared" si="17"/>
        <v>23</v>
      </c>
      <c r="H31" s="5">
        <f t="shared" si="18"/>
        <v>3</v>
      </c>
      <c r="I31" s="5">
        <f t="shared" si="19"/>
        <v>8</v>
      </c>
      <c r="J31" s="5">
        <f t="shared" si="20"/>
        <v>-7</v>
      </c>
      <c r="K31" s="5">
        <f t="shared" si="21"/>
        <v>1</v>
      </c>
    </row>
    <row r="34" spans="1:17" x14ac:dyDescent="0.25">
      <c r="A34" s="10" t="s">
        <v>10</v>
      </c>
      <c r="B34" s="11"/>
      <c r="C34" s="11"/>
    </row>
    <row r="36" spans="1:17" x14ac:dyDescent="0.25">
      <c r="A36" s="9" t="s">
        <v>13</v>
      </c>
      <c r="B36" s="9"/>
      <c r="G36" s="9" t="s">
        <v>14</v>
      </c>
      <c r="H36" s="9"/>
      <c r="M36" s="9" t="s">
        <v>15</v>
      </c>
      <c r="N36" s="9"/>
    </row>
    <row r="38" spans="1:17" x14ac:dyDescent="0.25">
      <c r="A38" s="5">
        <f>A3-G3</f>
        <v>2</v>
      </c>
      <c r="B38" s="5">
        <f t="shared" ref="B38:E38" si="22">B3-H3</f>
        <v>9</v>
      </c>
      <c r="C38" s="5">
        <f t="shared" si="22"/>
        <v>-20</v>
      </c>
      <c r="D38" s="5">
        <f t="shared" si="22"/>
        <v>20</v>
      </c>
      <c r="E38" s="5">
        <f t="shared" si="22"/>
        <v>1</v>
      </c>
      <c r="G38" s="5">
        <f>A3-M3</f>
        <v>-20</v>
      </c>
      <c r="H38" s="5">
        <f t="shared" ref="H38:K42" si="23">B3-N3</f>
        <v>19</v>
      </c>
      <c r="I38" s="5">
        <f t="shared" si="23"/>
        <v>-25</v>
      </c>
      <c r="J38" s="5">
        <f t="shared" si="23"/>
        <v>-2</v>
      </c>
      <c r="K38" s="5">
        <f t="shared" si="23"/>
        <v>-7</v>
      </c>
      <c r="M38" s="5">
        <f>G3-M3</f>
        <v>-22</v>
      </c>
      <c r="N38" s="5">
        <f t="shared" ref="N38:Q42" si="24">H3-N3</f>
        <v>10</v>
      </c>
      <c r="O38" s="5">
        <f t="shared" si="24"/>
        <v>-5</v>
      </c>
      <c r="P38" s="5">
        <f t="shared" si="24"/>
        <v>-22</v>
      </c>
      <c r="Q38" s="5">
        <f t="shared" si="24"/>
        <v>-8</v>
      </c>
    </row>
    <row r="39" spans="1:17" x14ac:dyDescent="0.25">
      <c r="A39" s="5">
        <f t="shared" ref="A39:A42" si="25">A4-G4</f>
        <v>18</v>
      </c>
      <c r="B39" s="5">
        <f t="shared" ref="B39:B42" si="26">B4-H4</f>
        <v>-10</v>
      </c>
      <c r="C39" s="5">
        <f t="shared" ref="C39:C42" si="27">C4-I4</f>
        <v>12</v>
      </c>
      <c r="D39" s="5">
        <f t="shared" ref="D39:D42" si="28">D4-J4</f>
        <v>0</v>
      </c>
      <c r="E39" s="5">
        <f t="shared" ref="E39:E42" si="29">E4-K4</f>
        <v>24</v>
      </c>
      <c r="G39" s="5">
        <f t="shared" ref="G39:G42" si="30">A4-M4</f>
        <v>-17</v>
      </c>
      <c r="H39" s="5">
        <f t="shared" si="23"/>
        <v>-18</v>
      </c>
      <c r="I39" s="5">
        <f t="shared" si="23"/>
        <v>26</v>
      </c>
      <c r="J39" s="5">
        <f t="shared" si="23"/>
        <v>12</v>
      </c>
      <c r="K39" s="5">
        <f t="shared" si="23"/>
        <v>-2</v>
      </c>
      <c r="M39" s="5">
        <f t="shared" ref="M39:M42" si="31">G4-M4</f>
        <v>-35</v>
      </c>
      <c r="N39" s="5">
        <f t="shared" si="24"/>
        <v>-8</v>
      </c>
      <c r="O39" s="5">
        <f t="shared" si="24"/>
        <v>14</v>
      </c>
      <c r="P39" s="5">
        <f t="shared" si="24"/>
        <v>12</v>
      </c>
      <c r="Q39" s="5">
        <f t="shared" si="24"/>
        <v>-26</v>
      </c>
    </row>
    <row r="40" spans="1:17" x14ac:dyDescent="0.25">
      <c r="A40" s="5">
        <f t="shared" si="25"/>
        <v>21</v>
      </c>
      <c r="B40" s="5">
        <f t="shared" si="26"/>
        <v>-7</v>
      </c>
      <c r="C40" s="5">
        <f t="shared" si="27"/>
        <v>-12</v>
      </c>
      <c r="D40" s="5">
        <f t="shared" si="28"/>
        <v>37</v>
      </c>
      <c r="E40" s="5">
        <f t="shared" si="29"/>
        <v>26</v>
      </c>
      <c r="G40" s="5">
        <f t="shared" si="30"/>
        <v>20</v>
      </c>
      <c r="H40" s="5">
        <f t="shared" si="23"/>
        <v>17</v>
      </c>
      <c r="I40" s="5">
        <f t="shared" si="23"/>
        <v>7</v>
      </c>
      <c r="J40" s="5">
        <f t="shared" si="23"/>
        <v>18</v>
      </c>
      <c r="K40" s="5">
        <f t="shared" si="23"/>
        <v>13</v>
      </c>
      <c r="M40" s="5">
        <f t="shared" si="31"/>
        <v>-1</v>
      </c>
      <c r="N40" s="5">
        <f t="shared" si="24"/>
        <v>24</v>
      </c>
      <c r="O40" s="5">
        <f t="shared" si="24"/>
        <v>19</v>
      </c>
      <c r="P40" s="5">
        <f t="shared" si="24"/>
        <v>-19</v>
      </c>
      <c r="Q40" s="5">
        <f t="shared" si="24"/>
        <v>-13</v>
      </c>
    </row>
    <row r="41" spans="1:17" x14ac:dyDescent="0.25">
      <c r="A41" s="5">
        <f t="shared" si="25"/>
        <v>-21</v>
      </c>
      <c r="B41" s="5">
        <f t="shared" si="26"/>
        <v>25</v>
      </c>
      <c r="C41" s="5">
        <f t="shared" si="27"/>
        <v>37</v>
      </c>
      <c r="D41" s="5">
        <f t="shared" si="28"/>
        <v>-16</v>
      </c>
      <c r="E41" s="5">
        <f t="shared" si="29"/>
        <v>11</v>
      </c>
      <c r="G41" s="5">
        <f t="shared" si="30"/>
        <v>-28</v>
      </c>
      <c r="H41" s="5">
        <f t="shared" si="23"/>
        <v>-7</v>
      </c>
      <c r="I41" s="5">
        <f t="shared" si="23"/>
        <v>31</v>
      </c>
      <c r="J41" s="5">
        <f t="shared" si="23"/>
        <v>11</v>
      </c>
      <c r="K41" s="5">
        <f t="shared" si="23"/>
        <v>10</v>
      </c>
      <c r="M41" s="5">
        <f t="shared" si="31"/>
        <v>-7</v>
      </c>
      <c r="N41" s="5">
        <f t="shared" si="24"/>
        <v>-32</v>
      </c>
      <c r="O41" s="5">
        <f t="shared" si="24"/>
        <v>-6</v>
      </c>
      <c r="P41" s="5">
        <f t="shared" si="24"/>
        <v>27</v>
      </c>
      <c r="Q41" s="5">
        <f t="shared" si="24"/>
        <v>-1</v>
      </c>
    </row>
    <row r="42" spans="1:17" x14ac:dyDescent="0.25">
      <c r="A42" s="5">
        <f t="shared" si="25"/>
        <v>-28</v>
      </c>
      <c r="B42" s="5">
        <f t="shared" si="26"/>
        <v>0</v>
      </c>
      <c r="C42" s="5">
        <f t="shared" si="27"/>
        <v>7</v>
      </c>
      <c r="D42" s="5">
        <f t="shared" si="28"/>
        <v>-20</v>
      </c>
      <c r="E42" s="5">
        <f t="shared" si="29"/>
        <v>-11</v>
      </c>
      <c r="G42" s="5">
        <f t="shared" si="30"/>
        <v>-13</v>
      </c>
      <c r="H42" s="5">
        <f t="shared" si="23"/>
        <v>22</v>
      </c>
      <c r="I42" s="5">
        <f t="shared" si="23"/>
        <v>-19</v>
      </c>
      <c r="J42" s="5">
        <f t="shared" si="23"/>
        <v>-12</v>
      </c>
      <c r="K42" s="5">
        <f t="shared" si="23"/>
        <v>10</v>
      </c>
      <c r="M42" s="5">
        <f t="shared" si="31"/>
        <v>15</v>
      </c>
      <c r="N42" s="5">
        <f t="shared" si="24"/>
        <v>22</v>
      </c>
      <c r="O42" s="5">
        <f t="shared" si="24"/>
        <v>-26</v>
      </c>
      <c r="P42" s="5">
        <f t="shared" si="24"/>
        <v>8</v>
      </c>
      <c r="Q42" s="5">
        <f t="shared" si="24"/>
        <v>21</v>
      </c>
    </row>
    <row r="44" spans="1:17" x14ac:dyDescent="0.25">
      <c r="A44" s="9" t="s">
        <v>16</v>
      </c>
      <c r="B44" s="9"/>
      <c r="G44" s="9" t="s">
        <v>17</v>
      </c>
      <c r="H44" s="9"/>
    </row>
    <row r="46" spans="1:17" x14ac:dyDescent="0.25">
      <c r="A46" s="5">
        <f>A11-G11</f>
        <v>-3</v>
      </c>
      <c r="B46" s="5">
        <f t="shared" ref="B46:E49" si="32">B11-H11</f>
        <v>-8</v>
      </c>
      <c r="C46" s="5">
        <f t="shared" si="32"/>
        <v>19</v>
      </c>
      <c r="D46" s="5">
        <f t="shared" si="32"/>
        <v>13</v>
      </c>
      <c r="E46" s="5">
        <f t="shared" si="32"/>
        <v>-18</v>
      </c>
      <c r="G46" s="5">
        <f>G11-M11</f>
        <v>-20</v>
      </c>
      <c r="H46" s="5">
        <f t="shared" ref="H46:K49" si="33">H11-N11</f>
        <v>8</v>
      </c>
      <c r="I46" s="5">
        <f t="shared" si="33"/>
        <v>4</v>
      </c>
      <c r="J46" s="5">
        <f t="shared" si="33"/>
        <v>-14</v>
      </c>
      <c r="K46" s="5">
        <f t="shared" si="33"/>
        <v>-2</v>
      </c>
    </row>
    <row r="47" spans="1:17" x14ac:dyDescent="0.25">
      <c r="A47" s="5">
        <f t="shared" ref="A47:A49" si="34">A12-G12</f>
        <v>-10</v>
      </c>
      <c r="B47" s="5">
        <f t="shared" si="32"/>
        <v>4</v>
      </c>
      <c r="C47" s="5">
        <f t="shared" si="32"/>
        <v>1</v>
      </c>
      <c r="D47" s="5">
        <f t="shared" si="32"/>
        <v>-20</v>
      </c>
      <c r="E47" s="5">
        <f t="shared" si="32"/>
        <v>6</v>
      </c>
      <c r="G47" s="5">
        <f t="shared" ref="G47:G49" si="35">G12-M12</f>
        <v>-14</v>
      </c>
      <c r="H47" s="5">
        <f t="shared" si="33"/>
        <v>5</v>
      </c>
      <c r="I47" s="5">
        <f t="shared" si="33"/>
        <v>-15</v>
      </c>
      <c r="J47" s="5">
        <f t="shared" si="33"/>
        <v>-13</v>
      </c>
      <c r="K47" s="5">
        <f t="shared" si="33"/>
        <v>7</v>
      </c>
    </row>
    <row r="48" spans="1:17" x14ac:dyDescent="0.25">
      <c r="A48" s="5">
        <f t="shared" si="34"/>
        <v>15</v>
      </c>
      <c r="B48" s="5">
        <f t="shared" si="32"/>
        <v>0</v>
      </c>
      <c r="C48" s="5">
        <f t="shared" si="32"/>
        <v>6</v>
      </c>
      <c r="D48" s="5">
        <f t="shared" si="32"/>
        <v>-16</v>
      </c>
      <c r="E48" s="5">
        <f t="shared" si="32"/>
        <v>33</v>
      </c>
      <c r="G48" s="5">
        <f t="shared" si="35"/>
        <v>-3</v>
      </c>
      <c r="H48" s="5">
        <f t="shared" si="33"/>
        <v>8</v>
      </c>
      <c r="I48" s="5">
        <f t="shared" si="33"/>
        <v>19</v>
      </c>
      <c r="J48" s="5">
        <f t="shared" si="33"/>
        <v>11</v>
      </c>
      <c r="K48" s="5">
        <f t="shared" si="33"/>
        <v>-10</v>
      </c>
    </row>
    <row r="49" spans="1:17" x14ac:dyDescent="0.25">
      <c r="A49" s="5">
        <f t="shared" si="34"/>
        <v>-5</v>
      </c>
      <c r="B49" s="5">
        <f t="shared" si="32"/>
        <v>-11</v>
      </c>
      <c r="C49" s="5">
        <f t="shared" si="32"/>
        <v>13</v>
      </c>
      <c r="D49" s="5">
        <f t="shared" si="32"/>
        <v>-1</v>
      </c>
      <c r="E49" s="5">
        <f t="shared" si="32"/>
        <v>-13</v>
      </c>
      <c r="G49" s="5">
        <f t="shared" si="35"/>
        <v>13</v>
      </c>
      <c r="H49" s="5">
        <f t="shared" si="33"/>
        <v>-7</v>
      </c>
      <c r="I49" s="5">
        <f t="shared" si="33"/>
        <v>-4</v>
      </c>
      <c r="J49" s="5">
        <f t="shared" si="33"/>
        <v>17</v>
      </c>
      <c r="K49" s="5">
        <f t="shared" si="33"/>
        <v>-15</v>
      </c>
    </row>
    <row r="51" spans="1:17" x14ac:dyDescent="0.25">
      <c r="A51" s="10" t="s">
        <v>18</v>
      </c>
      <c r="B51" s="11"/>
      <c r="C51" s="11"/>
    </row>
    <row r="53" spans="1:17" x14ac:dyDescent="0.25">
      <c r="A53" s="9" t="s">
        <v>19</v>
      </c>
      <c r="B53" s="9"/>
      <c r="D53" s="4">
        <v>5</v>
      </c>
      <c r="G53" s="9" t="s">
        <v>20</v>
      </c>
      <c r="H53" s="9"/>
      <c r="J53" s="4">
        <v>3.5</v>
      </c>
      <c r="M53" s="9" t="s">
        <v>21</v>
      </c>
      <c r="N53" s="9"/>
      <c r="P53" s="4">
        <v>8</v>
      </c>
    </row>
    <row r="55" spans="1:17" x14ac:dyDescent="0.25">
      <c r="A55" s="5">
        <f>A3*$D$53</f>
        <v>-50</v>
      </c>
      <c r="B55" s="5">
        <f t="shared" ref="B55:E55" si="36">B3*$D$53</f>
        <v>25</v>
      </c>
      <c r="C55" s="5">
        <f t="shared" si="36"/>
        <v>-55</v>
      </c>
      <c r="D55" s="5">
        <f t="shared" si="36"/>
        <v>15</v>
      </c>
      <c r="E55" s="5">
        <f t="shared" si="36"/>
        <v>5</v>
      </c>
      <c r="G55" s="5">
        <f>G20*$J$53</f>
        <v>0</v>
      </c>
      <c r="H55" s="5">
        <f t="shared" ref="H55:K55" si="37">H20*$J$53</f>
        <v>-31.5</v>
      </c>
      <c r="I55" s="5">
        <f t="shared" si="37"/>
        <v>10.5</v>
      </c>
      <c r="J55" s="5">
        <f t="shared" si="37"/>
        <v>28</v>
      </c>
      <c r="K55" s="5">
        <f t="shared" si="37"/>
        <v>31.5</v>
      </c>
      <c r="M55" s="5">
        <f>M20*$P$53</f>
        <v>-16</v>
      </c>
      <c r="N55" s="5">
        <f t="shared" ref="N55:Q55" si="38">N20*$P$53</f>
        <v>-144</v>
      </c>
      <c r="O55" s="5">
        <f t="shared" si="38"/>
        <v>184</v>
      </c>
      <c r="P55" s="5">
        <f t="shared" si="38"/>
        <v>-96</v>
      </c>
      <c r="Q55" s="5">
        <f t="shared" si="38"/>
        <v>64</v>
      </c>
    </row>
    <row r="56" spans="1:17" x14ac:dyDescent="0.25">
      <c r="A56" s="5">
        <f t="shared" ref="A56:E59" si="39">A4*$D$53</f>
        <v>15</v>
      </c>
      <c r="B56" s="5">
        <f t="shared" si="39"/>
        <v>5</v>
      </c>
      <c r="C56" s="5">
        <f t="shared" si="39"/>
        <v>40</v>
      </c>
      <c r="D56" s="5">
        <f t="shared" si="39"/>
        <v>55</v>
      </c>
      <c r="E56" s="5">
        <f t="shared" si="39"/>
        <v>45</v>
      </c>
      <c r="G56" s="5">
        <f t="shared" ref="G56:K56" si="40">G21*$J$53</f>
        <v>80.5</v>
      </c>
      <c r="H56" s="5">
        <f t="shared" si="40"/>
        <v>70</v>
      </c>
      <c r="I56" s="5">
        <f t="shared" si="40"/>
        <v>-35</v>
      </c>
      <c r="J56" s="5">
        <f t="shared" si="40"/>
        <v>35</v>
      </c>
      <c r="K56" s="5">
        <f t="shared" si="40"/>
        <v>70</v>
      </c>
      <c r="M56" s="5">
        <f t="shared" ref="M56:Q58" si="41">M21*$P$53</f>
        <v>40</v>
      </c>
      <c r="N56" s="5">
        <f t="shared" si="41"/>
        <v>240</v>
      </c>
      <c r="O56" s="5">
        <f t="shared" si="41"/>
        <v>-176</v>
      </c>
      <c r="P56" s="5">
        <f t="shared" si="41"/>
        <v>80</v>
      </c>
      <c r="Q56" s="5">
        <f t="shared" si="41"/>
        <v>-32</v>
      </c>
    </row>
    <row r="57" spans="1:17" x14ac:dyDescent="0.25">
      <c r="A57" s="5">
        <f t="shared" si="39"/>
        <v>55</v>
      </c>
      <c r="B57" s="5">
        <f t="shared" si="39"/>
        <v>55</v>
      </c>
      <c r="C57" s="5">
        <f t="shared" si="39"/>
        <v>10</v>
      </c>
      <c r="D57" s="5">
        <f t="shared" si="39"/>
        <v>95</v>
      </c>
      <c r="E57" s="5">
        <f t="shared" si="39"/>
        <v>75</v>
      </c>
      <c r="G57" s="5">
        <f t="shared" ref="G57:K57" si="42">G22*$J$53</f>
        <v>7</v>
      </c>
      <c r="H57" s="5">
        <f t="shared" si="42"/>
        <v>17.5</v>
      </c>
      <c r="I57" s="5">
        <f t="shared" si="42"/>
        <v>-10.5</v>
      </c>
      <c r="J57" s="5">
        <f t="shared" si="42"/>
        <v>70</v>
      </c>
      <c r="K57" s="5">
        <f t="shared" si="42"/>
        <v>59.5</v>
      </c>
      <c r="M57" s="5">
        <f t="shared" si="41"/>
        <v>-152</v>
      </c>
      <c r="N57" s="5">
        <f t="shared" si="41"/>
        <v>96</v>
      </c>
      <c r="O57" s="5">
        <f t="shared" si="41"/>
        <v>72</v>
      </c>
      <c r="P57" s="5">
        <f t="shared" si="41"/>
        <v>-136</v>
      </c>
      <c r="Q57" s="5">
        <f t="shared" si="41"/>
        <v>-72</v>
      </c>
    </row>
    <row r="58" spans="1:17" x14ac:dyDescent="0.25">
      <c r="A58" s="5">
        <f t="shared" si="39"/>
        <v>-85</v>
      </c>
      <c r="B58" s="5">
        <f t="shared" si="39"/>
        <v>50</v>
      </c>
      <c r="C58" s="5">
        <f t="shared" si="39"/>
        <v>90</v>
      </c>
      <c r="D58" s="5">
        <f t="shared" si="39"/>
        <v>-45</v>
      </c>
      <c r="E58" s="5">
        <f t="shared" si="39"/>
        <v>75</v>
      </c>
      <c r="G58" s="5">
        <f t="shared" ref="G58:K58" si="43">G23*$J$53</f>
        <v>-21</v>
      </c>
      <c r="H58" s="5">
        <f t="shared" si="43"/>
        <v>94.5</v>
      </c>
      <c r="I58" s="5">
        <f t="shared" si="43"/>
        <v>17.5</v>
      </c>
      <c r="J58" s="5">
        <f t="shared" si="43"/>
        <v>-101.5</v>
      </c>
      <c r="K58" s="5">
        <f t="shared" si="43"/>
        <v>70</v>
      </c>
      <c r="M58" s="5">
        <f t="shared" si="41"/>
        <v>120</v>
      </c>
      <c r="N58" s="5">
        <f t="shared" si="41"/>
        <v>16</v>
      </c>
      <c r="O58" s="5">
        <f t="shared" si="41"/>
        <v>-256</v>
      </c>
      <c r="P58" s="5">
        <f t="shared" si="41"/>
        <v>-104</v>
      </c>
      <c r="Q58" s="5">
        <f t="shared" si="41"/>
        <v>72</v>
      </c>
    </row>
    <row r="59" spans="1:17" x14ac:dyDescent="0.25">
      <c r="A59" s="5">
        <f t="shared" si="39"/>
        <v>-45</v>
      </c>
      <c r="B59" s="5">
        <f t="shared" si="39"/>
        <v>70</v>
      </c>
      <c r="C59" s="5">
        <f t="shared" si="39"/>
        <v>-50</v>
      </c>
      <c r="D59" s="5">
        <f t="shared" si="39"/>
        <v>-50</v>
      </c>
      <c r="E59" s="5">
        <f t="shared" si="39"/>
        <v>-30</v>
      </c>
      <c r="G59" s="5">
        <f t="shared" ref="G59:K59" si="44">G24*$J$53</f>
        <v>-17.5</v>
      </c>
      <c r="H59" s="5">
        <f t="shared" si="44"/>
        <v>21</v>
      </c>
      <c r="I59" s="5">
        <f t="shared" si="44"/>
        <v>-3.5</v>
      </c>
      <c r="J59" s="5">
        <f t="shared" si="44"/>
        <v>-28</v>
      </c>
      <c r="K59" s="5">
        <f t="shared" si="44"/>
        <v>-77</v>
      </c>
      <c r="M59" s="5">
        <f>M24*$P$53</f>
        <v>184</v>
      </c>
      <c r="N59" s="5">
        <f t="shared" ref="N59:Q59" si="45">N24*$P$53</f>
        <v>48</v>
      </c>
      <c r="O59" s="5">
        <f t="shared" si="45"/>
        <v>-64</v>
      </c>
      <c r="P59" s="5">
        <f t="shared" si="45"/>
        <v>96</v>
      </c>
      <c r="Q59" s="5">
        <f t="shared" si="45"/>
        <v>-88</v>
      </c>
    </row>
    <row r="61" spans="1:17" x14ac:dyDescent="0.25">
      <c r="A61" s="9" t="s">
        <v>22</v>
      </c>
      <c r="B61" s="9"/>
      <c r="D61" s="4">
        <v>11</v>
      </c>
      <c r="G61" s="9" t="s">
        <v>23</v>
      </c>
      <c r="H61" s="9"/>
      <c r="J61" s="4">
        <v>6.7</v>
      </c>
    </row>
    <row r="63" spans="1:17" x14ac:dyDescent="0.25">
      <c r="A63" s="5">
        <f>A46*$D$61</f>
        <v>-33</v>
      </c>
      <c r="B63" s="5">
        <f t="shared" ref="B63:E63" si="46">B46*$D$61</f>
        <v>-88</v>
      </c>
      <c r="C63" s="5">
        <f t="shared" si="46"/>
        <v>209</v>
      </c>
      <c r="D63" s="5">
        <f t="shared" si="46"/>
        <v>143</v>
      </c>
      <c r="E63" s="5">
        <f t="shared" si="46"/>
        <v>-198</v>
      </c>
      <c r="G63" s="5">
        <f>G46*$J$61</f>
        <v>-134</v>
      </c>
      <c r="H63" s="5">
        <f t="shared" ref="H63:K63" si="47">H46*$J$61</f>
        <v>53.6</v>
      </c>
      <c r="I63" s="5">
        <f t="shared" si="47"/>
        <v>26.8</v>
      </c>
      <c r="J63" s="5">
        <f t="shared" si="47"/>
        <v>-93.8</v>
      </c>
      <c r="K63" s="5">
        <f t="shared" si="47"/>
        <v>-13.4</v>
      </c>
    </row>
    <row r="64" spans="1:17" x14ac:dyDescent="0.25">
      <c r="A64" s="5">
        <f t="shared" ref="A64:E66" si="48">A47*$D$61</f>
        <v>-110</v>
      </c>
      <c r="B64" s="5">
        <f t="shared" si="48"/>
        <v>44</v>
      </c>
      <c r="C64" s="5">
        <f t="shared" si="48"/>
        <v>11</v>
      </c>
      <c r="D64" s="5">
        <f t="shared" si="48"/>
        <v>-220</v>
      </c>
      <c r="E64" s="5">
        <f t="shared" si="48"/>
        <v>66</v>
      </c>
      <c r="G64" s="5">
        <f t="shared" ref="G64:K66" si="49">G47*$J$61</f>
        <v>-93.8</v>
      </c>
      <c r="H64" s="5">
        <f t="shared" si="49"/>
        <v>33.5</v>
      </c>
      <c r="I64" s="5">
        <f t="shared" si="49"/>
        <v>-100.5</v>
      </c>
      <c r="J64" s="5">
        <f t="shared" si="49"/>
        <v>-87.100000000000009</v>
      </c>
      <c r="K64" s="5">
        <f t="shared" si="49"/>
        <v>46.9</v>
      </c>
    </row>
    <row r="65" spans="1:11" x14ac:dyDescent="0.25">
      <c r="A65" s="5">
        <f t="shared" si="48"/>
        <v>165</v>
      </c>
      <c r="B65" s="5">
        <f t="shared" si="48"/>
        <v>0</v>
      </c>
      <c r="C65" s="5">
        <f t="shared" si="48"/>
        <v>66</v>
      </c>
      <c r="D65" s="5">
        <f t="shared" si="48"/>
        <v>-176</v>
      </c>
      <c r="E65" s="5">
        <f t="shared" si="48"/>
        <v>363</v>
      </c>
      <c r="G65" s="5">
        <f t="shared" si="49"/>
        <v>-20.100000000000001</v>
      </c>
      <c r="H65" s="5">
        <f t="shared" si="49"/>
        <v>53.6</v>
      </c>
      <c r="I65" s="5">
        <f t="shared" si="49"/>
        <v>127.3</v>
      </c>
      <c r="J65" s="5">
        <f t="shared" si="49"/>
        <v>73.7</v>
      </c>
      <c r="K65" s="5">
        <f t="shared" si="49"/>
        <v>-67</v>
      </c>
    </row>
    <row r="66" spans="1:11" x14ac:dyDescent="0.25">
      <c r="A66" s="5">
        <f t="shared" si="48"/>
        <v>-55</v>
      </c>
      <c r="B66" s="5">
        <f t="shared" si="48"/>
        <v>-121</v>
      </c>
      <c r="C66" s="5">
        <f t="shared" si="48"/>
        <v>143</v>
      </c>
      <c r="D66" s="5">
        <f t="shared" si="48"/>
        <v>-11</v>
      </c>
      <c r="E66" s="5">
        <f t="shared" si="48"/>
        <v>-143</v>
      </c>
      <c r="G66" s="5">
        <f t="shared" si="49"/>
        <v>87.100000000000009</v>
      </c>
      <c r="H66" s="5">
        <f t="shared" si="49"/>
        <v>-46.9</v>
      </c>
      <c r="I66" s="5">
        <f t="shared" si="49"/>
        <v>-26.8</v>
      </c>
      <c r="J66" s="5">
        <f t="shared" si="49"/>
        <v>113.9</v>
      </c>
      <c r="K66" s="5">
        <f t="shared" si="49"/>
        <v>-100.5</v>
      </c>
    </row>
  </sheetData>
  <mergeCells count="24">
    <mergeCell ref="A51:C51"/>
    <mergeCell ref="A53:B53"/>
    <mergeCell ref="G53:H53"/>
    <mergeCell ref="M53:N53"/>
    <mergeCell ref="A61:B61"/>
    <mergeCell ref="G61:H61"/>
    <mergeCell ref="A34:C34"/>
    <mergeCell ref="A36:B36"/>
    <mergeCell ref="G36:H36"/>
    <mergeCell ref="M36:N36"/>
    <mergeCell ref="A44:B44"/>
    <mergeCell ref="G44:H44"/>
    <mergeCell ref="A16:C16"/>
    <mergeCell ref="A18:B18"/>
    <mergeCell ref="G18:H18"/>
    <mergeCell ref="M18:N18"/>
    <mergeCell ref="A26:B26"/>
    <mergeCell ref="G26:H26"/>
    <mergeCell ref="A1:B1"/>
    <mergeCell ref="G1:H1"/>
    <mergeCell ref="M1:N1"/>
    <mergeCell ref="A9:B9"/>
    <mergeCell ref="G9:H9"/>
    <mergeCell ref="M9:N9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F6B0-2D15-47F2-A164-3003F1EB880E}">
  <dimension ref="A1:L13"/>
  <sheetViews>
    <sheetView zoomScaleNormal="100" workbookViewId="0">
      <selection activeCell="D1" sqref="D1"/>
    </sheetView>
  </sheetViews>
  <sheetFormatPr defaultRowHeight="15" x14ac:dyDescent="0.25"/>
  <sheetData>
    <row r="1" spans="1:12" x14ac:dyDescent="0.25">
      <c r="A1" s="12" t="s">
        <v>24</v>
      </c>
      <c r="B1" s="12"/>
      <c r="C1" s="12"/>
    </row>
    <row r="3" spans="1:12" x14ac:dyDescent="0.25">
      <c r="A3" s="2">
        <f t="array" ref="A3:B4">_xlfn.MUNIT(2)</f>
        <v>1</v>
      </c>
      <c r="B3" s="2">
        <v>0</v>
      </c>
      <c r="D3" s="2">
        <f t="array" ref="D3:F5">_xlfn.MUNIT(3)</f>
        <v>1</v>
      </c>
      <c r="E3" s="2">
        <v>0</v>
      </c>
      <c r="F3" s="2">
        <v>0</v>
      </c>
      <c r="H3" s="2">
        <f t="array" ref="H3:K6">_xlfn.MUNIT(4)</f>
        <v>1</v>
      </c>
      <c r="I3" s="2">
        <v>0</v>
      </c>
      <c r="J3" s="2">
        <v>0</v>
      </c>
      <c r="K3" s="2">
        <v>0</v>
      </c>
    </row>
    <row r="4" spans="1:12" x14ac:dyDescent="0.25">
      <c r="A4" s="2">
        <v>0</v>
      </c>
      <c r="B4" s="2">
        <v>1</v>
      </c>
      <c r="D4" s="2">
        <v>0</v>
      </c>
      <c r="E4" s="2">
        <v>1</v>
      </c>
      <c r="F4" s="2">
        <v>0</v>
      </c>
      <c r="H4" s="2">
        <v>0</v>
      </c>
      <c r="I4" s="2">
        <v>1</v>
      </c>
      <c r="J4" s="2">
        <v>0</v>
      </c>
      <c r="K4" s="2">
        <v>0</v>
      </c>
    </row>
    <row r="5" spans="1:12" x14ac:dyDescent="0.25">
      <c r="D5" s="2">
        <v>0</v>
      </c>
      <c r="E5" s="2">
        <v>0</v>
      </c>
      <c r="F5" s="2">
        <v>1</v>
      </c>
      <c r="H5" s="2">
        <v>0</v>
      </c>
      <c r="I5" s="2">
        <v>0</v>
      </c>
      <c r="J5" s="2">
        <v>1</v>
      </c>
      <c r="K5" s="2">
        <v>0</v>
      </c>
    </row>
    <row r="6" spans="1:12" x14ac:dyDescent="0.25">
      <c r="H6" s="2">
        <v>0</v>
      </c>
      <c r="I6" s="2">
        <v>0</v>
      </c>
      <c r="J6" s="2">
        <v>0</v>
      </c>
      <c r="K6" s="2">
        <v>1</v>
      </c>
    </row>
    <row r="8" spans="1:12" x14ac:dyDescent="0.25">
      <c r="A8" s="2">
        <f t="array" ref="A8:E12">_xlfn.MUNIT(5)</f>
        <v>1</v>
      </c>
      <c r="B8" s="2">
        <v>0</v>
      </c>
      <c r="C8" s="2">
        <v>0</v>
      </c>
      <c r="D8" s="2">
        <v>0</v>
      </c>
      <c r="E8" s="2">
        <v>0</v>
      </c>
      <c r="G8" s="2">
        <f t="array" ref="G8:L13">_xlfn.MUNIT(6)</f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 x14ac:dyDescent="0.25">
      <c r="A9" s="2">
        <v>0</v>
      </c>
      <c r="B9" s="2">
        <v>1</v>
      </c>
      <c r="C9" s="2">
        <v>0</v>
      </c>
      <c r="D9" s="2">
        <v>0</v>
      </c>
      <c r="E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</row>
    <row r="10" spans="1:12" x14ac:dyDescent="0.25">
      <c r="A10" s="2">
        <v>0</v>
      </c>
      <c r="B10" s="2">
        <v>0</v>
      </c>
      <c r="C10" s="2">
        <v>1</v>
      </c>
      <c r="D10" s="2">
        <v>0</v>
      </c>
      <c r="E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</row>
    <row r="11" spans="1:12" x14ac:dyDescent="0.25">
      <c r="A11" s="2">
        <v>0</v>
      </c>
      <c r="B11" s="2">
        <v>0</v>
      </c>
      <c r="C11" s="2">
        <v>0</v>
      </c>
      <c r="D11" s="2">
        <v>1</v>
      </c>
      <c r="E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</row>
    <row r="12" spans="1:12" x14ac:dyDescent="0.25">
      <c r="A12" s="2">
        <v>0</v>
      </c>
      <c r="B12" s="2">
        <v>0</v>
      </c>
      <c r="C12" s="2">
        <v>0</v>
      </c>
      <c r="D12" s="2">
        <v>0</v>
      </c>
      <c r="E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</row>
    <row r="13" spans="1:12" x14ac:dyDescent="0.25"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C1D9-1CD7-4AC3-88A9-C4555844CEC4}">
  <dimension ref="A1:V25"/>
  <sheetViews>
    <sheetView zoomScaleNormal="100" workbookViewId="0">
      <selection activeCell="C1" sqref="C1"/>
    </sheetView>
  </sheetViews>
  <sheetFormatPr defaultRowHeight="15.75" x14ac:dyDescent="0.25"/>
  <cols>
    <col min="1" max="12" width="9.140625" style="1"/>
    <col min="13" max="13" width="9.5703125" style="1" customWidth="1"/>
    <col min="14" max="16384" width="9.140625" style="1"/>
  </cols>
  <sheetData>
    <row r="1" spans="1:22" x14ac:dyDescent="0.25">
      <c r="A1" s="13" t="s">
        <v>0</v>
      </c>
      <c r="B1" s="13"/>
      <c r="G1" s="13" t="s">
        <v>1</v>
      </c>
      <c r="H1" s="13"/>
      <c r="M1" s="13" t="s">
        <v>2</v>
      </c>
      <c r="N1" s="13"/>
      <c r="S1" s="13" t="s">
        <v>3</v>
      </c>
      <c r="T1" s="13"/>
    </row>
    <row r="3" spans="1:22" x14ac:dyDescent="0.25">
      <c r="A3" s="6">
        <v>-10</v>
      </c>
      <c r="B3" s="6">
        <v>5</v>
      </c>
      <c r="C3" s="6">
        <v>-11</v>
      </c>
      <c r="D3" s="6">
        <v>3</v>
      </c>
      <c r="E3" s="6">
        <v>1</v>
      </c>
      <c r="G3" s="6">
        <v>10</v>
      </c>
      <c r="H3" s="6">
        <v>-14</v>
      </c>
      <c r="I3" s="6">
        <v>14</v>
      </c>
      <c r="J3" s="6">
        <v>5</v>
      </c>
      <c r="K3" s="6">
        <v>8</v>
      </c>
      <c r="M3" s="6">
        <v>-18</v>
      </c>
      <c r="N3" s="6">
        <v>-8</v>
      </c>
      <c r="O3" s="6">
        <v>20</v>
      </c>
      <c r="P3" s="6">
        <v>12</v>
      </c>
      <c r="Q3" s="6">
        <v>-8</v>
      </c>
      <c r="S3" s="3">
        <v>-15</v>
      </c>
      <c r="T3" s="3">
        <v>-2</v>
      </c>
      <c r="U3" s="3">
        <v>2</v>
      </c>
      <c r="V3" s="3">
        <v>18</v>
      </c>
    </row>
    <row r="4" spans="1:22" x14ac:dyDescent="0.25">
      <c r="A4" s="6">
        <v>3</v>
      </c>
      <c r="B4" s="6">
        <v>1</v>
      </c>
      <c r="C4" s="6">
        <v>8</v>
      </c>
      <c r="D4" s="6">
        <v>11</v>
      </c>
      <c r="E4" s="6">
        <v>9</v>
      </c>
      <c r="G4" s="6">
        <v>20</v>
      </c>
      <c r="H4" s="6">
        <v>19</v>
      </c>
      <c r="I4" s="6">
        <v>-18</v>
      </c>
      <c r="J4" s="6">
        <v>-1</v>
      </c>
      <c r="K4" s="6">
        <v>11</v>
      </c>
      <c r="M4" s="6">
        <v>-12</v>
      </c>
      <c r="N4" s="6">
        <v>1</v>
      </c>
      <c r="O4" s="6">
        <v>-1</v>
      </c>
      <c r="P4" s="6">
        <v>-14</v>
      </c>
      <c r="Q4" s="6">
        <v>18</v>
      </c>
      <c r="S4" s="3">
        <v>0</v>
      </c>
      <c r="T4" s="3">
        <v>-3</v>
      </c>
      <c r="U4" s="3">
        <v>-4</v>
      </c>
      <c r="V4" s="3">
        <v>-2</v>
      </c>
    </row>
    <row r="5" spans="1:22" x14ac:dyDescent="0.25">
      <c r="A5" s="6">
        <v>11</v>
      </c>
      <c r="B5" s="6">
        <v>11</v>
      </c>
      <c r="C5" s="6">
        <v>2</v>
      </c>
      <c r="D5" s="6">
        <v>19</v>
      </c>
      <c r="E5" s="6">
        <v>15</v>
      </c>
      <c r="G5" s="6">
        <v>-9</v>
      </c>
      <c r="H5" s="6">
        <v>-6</v>
      </c>
      <c r="I5" s="6">
        <v>-5</v>
      </c>
      <c r="J5" s="6">
        <v>1</v>
      </c>
      <c r="K5" s="6">
        <v>2</v>
      </c>
      <c r="M5" s="6">
        <v>17</v>
      </c>
      <c r="N5" s="6">
        <v>-4</v>
      </c>
      <c r="O5" s="6">
        <v>7</v>
      </c>
      <c r="P5" s="6">
        <v>-7</v>
      </c>
      <c r="Q5" s="6">
        <v>20</v>
      </c>
      <c r="S5" s="3">
        <v>1</v>
      </c>
      <c r="T5" s="3">
        <v>-2</v>
      </c>
      <c r="U5" s="3">
        <v>1</v>
      </c>
      <c r="V5" s="3">
        <v>2</v>
      </c>
    </row>
    <row r="6" spans="1:22" x14ac:dyDescent="0.25">
      <c r="A6" s="6">
        <v>-17</v>
      </c>
      <c r="B6" s="6">
        <v>10</v>
      </c>
      <c r="C6" s="6">
        <v>18</v>
      </c>
      <c r="D6" s="6">
        <v>-9</v>
      </c>
      <c r="E6" s="6">
        <v>15</v>
      </c>
      <c r="G6" s="6">
        <v>11</v>
      </c>
      <c r="H6" s="6">
        <v>17</v>
      </c>
      <c r="I6" s="6">
        <v>-13</v>
      </c>
      <c r="J6" s="6">
        <v>-20</v>
      </c>
      <c r="K6" s="6">
        <v>5</v>
      </c>
      <c r="M6" s="6">
        <v>13</v>
      </c>
      <c r="N6" s="6">
        <v>-13</v>
      </c>
      <c r="O6" s="6">
        <v>15</v>
      </c>
      <c r="P6" s="6">
        <v>4</v>
      </c>
      <c r="Q6" s="6">
        <v>-20</v>
      </c>
      <c r="S6" s="3">
        <v>-1</v>
      </c>
      <c r="T6" s="3">
        <v>6</v>
      </c>
      <c r="U6" s="3">
        <v>9</v>
      </c>
      <c r="V6" s="3">
        <v>5</v>
      </c>
    </row>
    <row r="7" spans="1:22" x14ac:dyDescent="0.25">
      <c r="A7" s="6">
        <v>-9</v>
      </c>
      <c r="B7" s="6">
        <v>14</v>
      </c>
      <c r="C7" s="6">
        <v>-10</v>
      </c>
      <c r="D7" s="6">
        <v>-10</v>
      </c>
      <c r="E7" s="6">
        <v>-6</v>
      </c>
      <c r="G7" s="6">
        <v>4</v>
      </c>
      <c r="H7" s="6">
        <v>-8</v>
      </c>
      <c r="I7" s="6">
        <v>9</v>
      </c>
      <c r="J7" s="6">
        <v>2</v>
      </c>
      <c r="K7" s="6">
        <v>-16</v>
      </c>
      <c r="S7" s="3">
        <v>10</v>
      </c>
      <c r="T7" s="3">
        <v>12</v>
      </c>
      <c r="U7" s="3">
        <v>-13</v>
      </c>
      <c r="V7" s="3">
        <v>-7</v>
      </c>
    </row>
    <row r="9" spans="1:22" x14ac:dyDescent="0.25">
      <c r="A9" s="10" t="s">
        <v>25</v>
      </c>
      <c r="B9" s="10"/>
      <c r="C9" s="10"/>
      <c r="M9" s="14"/>
      <c r="N9" s="14"/>
    </row>
    <row r="11" spans="1:22" x14ac:dyDescent="0.25">
      <c r="A11" s="13" t="s">
        <v>26</v>
      </c>
      <c r="B11" s="13"/>
      <c r="G11" s="13" t="s">
        <v>27</v>
      </c>
      <c r="H11" s="13"/>
      <c r="M11" s="13" t="s">
        <v>28</v>
      </c>
      <c r="N11" s="13"/>
    </row>
    <row r="13" spans="1:22" x14ac:dyDescent="0.25">
      <c r="A13" s="2">
        <f t="array" ref="A13:E17">MMULT(A3:E7,G3:K7)</f>
        <v>136</v>
      </c>
      <c r="B13" s="2">
        <v>344</v>
      </c>
      <c r="C13" s="2">
        <v>-205</v>
      </c>
      <c r="D13" s="2">
        <v>-124</v>
      </c>
      <c r="E13" s="2">
        <v>-48</v>
      </c>
      <c r="G13" s="2">
        <f t="array" ref="G13:K17">MMULT(G3:K7,A3:E7)</f>
        <v>-145</v>
      </c>
      <c r="H13" s="2">
        <v>352</v>
      </c>
      <c r="I13" s="2">
        <v>-184</v>
      </c>
      <c r="J13" s="2">
        <v>17</v>
      </c>
      <c r="K13" s="2">
        <v>121</v>
      </c>
      <c r="M13" s="2">
        <f t="array" ref="M13:Q16">MMULT(M3:Q6,A3:E7)</f>
        <v>244</v>
      </c>
      <c r="N13" s="2">
        <v>130</v>
      </c>
      <c r="O13" s="2">
        <v>470</v>
      </c>
      <c r="P13" s="2">
        <v>210</v>
      </c>
      <c r="Q13" s="2">
        <v>438</v>
      </c>
    </row>
    <row r="14" spans="1:22" x14ac:dyDescent="0.25">
      <c r="A14" s="2">
        <v>135</v>
      </c>
      <c r="B14" s="2">
        <v>44</v>
      </c>
      <c r="C14" s="2">
        <v>-78</v>
      </c>
      <c r="D14" s="2">
        <v>-180</v>
      </c>
      <c r="E14" s="2">
        <v>-38</v>
      </c>
      <c r="G14" s="2">
        <v>-423</v>
      </c>
      <c r="H14" s="2">
        <v>65</v>
      </c>
      <c r="I14" s="2">
        <v>-232</v>
      </c>
      <c r="J14" s="2">
        <v>-174</v>
      </c>
      <c r="K14" s="2">
        <v>-160</v>
      </c>
      <c r="M14" s="2">
        <v>188</v>
      </c>
      <c r="N14" s="2">
        <v>42</v>
      </c>
      <c r="O14" s="2">
        <v>-294</v>
      </c>
      <c r="P14" s="2">
        <v>-98</v>
      </c>
      <c r="Q14" s="2">
        <v>-336</v>
      </c>
    </row>
    <row r="15" spans="1:22" x14ac:dyDescent="0.25">
      <c r="A15" s="2">
        <v>581</v>
      </c>
      <c r="B15" s="2">
        <v>246</v>
      </c>
      <c r="C15" s="2">
        <v>-166</v>
      </c>
      <c r="D15" s="2">
        <v>-304</v>
      </c>
      <c r="E15" s="2">
        <v>68</v>
      </c>
      <c r="G15" s="2">
        <v>-18</v>
      </c>
      <c r="H15" s="2">
        <v>-68</v>
      </c>
      <c r="I15" s="2">
        <v>39</v>
      </c>
      <c r="J15" s="2">
        <v>-217</v>
      </c>
      <c r="K15" s="2">
        <v>-135</v>
      </c>
      <c r="M15" s="2">
        <v>-166</v>
      </c>
      <c r="N15" s="2">
        <v>368</v>
      </c>
      <c r="O15" s="2">
        <v>-531</v>
      </c>
      <c r="P15" s="2">
        <v>3</v>
      </c>
      <c r="Q15" s="2">
        <v>-139</v>
      </c>
    </row>
    <row r="16" spans="1:22" x14ac:dyDescent="0.25">
      <c r="A16" s="2">
        <v>-171</v>
      </c>
      <c r="B16" s="2">
        <v>47</v>
      </c>
      <c r="C16" s="2">
        <v>-256</v>
      </c>
      <c r="D16" s="2">
        <v>133</v>
      </c>
      <c r="E16" s="2">
        <v>-275</v>
      </c>
      <c r="G16" s="2">
        <v>93</v>
      </c>
      <c r="H16" s="2">
        <v>-201</v>
      </c>
      <c r="I16" s="2">
        <v>-421</v>
      </c>
      <c r="J16" s="2">
        <v>103</v>
      </c>
      <c r="K16" s="2">
        <v>-361</v>
      </c>
      <c r="M16" s="2">
        <v>108</v>
      </c>
      <c r="N16" s="2">
        <v>-23</v>
      </c>
      <c r="O16" s="2">
        <v>55</v>
      </c>
      <c r="P16" s="2">
        <v>345</v>
      </c>
      <c r="Q16" s="2">
        <v>301</v>
      </c>
    </row>
    <row r="17" spans="1:17" x14ac:dyDescent="0.25">
      <c r="A17" s="2">
        <v>146</v>
      </c>
      <c r="B17" s="2">
        <v>330</v>
      </c>
      <c r="C17" s="2">
        <v>-252</v>
      </c>
      <c r="D17" s="2">
        <v>119</v>
      </c>
      <c r="E17" s="2">
        <v>108</v>
      </c>
      <c r="G17" s="2">
        <v>145</v>
      </c>
      <c r="H17" s="2">
        <v>-93</v>
      </c>
      <c r="I17" s="2">
        <v>106</v>
      </c>
      <c r="J17" s="2">
        <v>237</v>
      </c>
      <c r="K17" s="2">
        <v>193</v>
      </c>
      <c r="M17"/>
      <c r="N17"/>
      <c r="O17"/>
      <c r="P17"/>
      <c r="Q17"/>
    </row>
    <row r="19" spans="1:17" x14ac:dyDescent="0.25">
      <c r="A19" s="13" t="s">
        <v>29</v>
      </c>
      <c r="B19" s="13"/>
      <c r="G19" s="13" t="s">
        <v>30</v>
      </c>
      <c r="H19" s="13"/>
    </row>
    <row r="21" spans="1:17" x14ac:dyDescent="0.25">
      <c r="A21" s="2">
        <f t="array" ref="A21:D25">MMULT(G3:K7,S3:V7)</f>
        <v>-61</v>
      </c>
      <c r="B21" s="2">
        <v>120</v>
      </c>
      <c r="C21" s="2">
        <v>31</v>
      </c>
      <c r="D21" s="2">
        <v>205</v>
      </c>
      <c r="E21"/>
      <c r="G21" s="2">
        <f t="array" ref="G21:K24">MMULT(M3:Q6,G3:K7)</f>
        <v>-420</v>
      </c>
      <c r="H21" s="2">
        <v>248</v>
      </c>
      <c r="I21" s="2">
        <v>-436</v>
      </c>
      <c r="J21" s="2">
        <v>-318</v>
      </c>
      <c r="K21" s="2">
        <v>-4</v>
      </c>
    </row>
    <row r="22" spans="1:17" x14ac:dyDescent="0.25">
      <c r="A22" s="2">
        <v>-207</v>
      </c>
      <c r="B22" s="2">
        <v>65</v>
      </c>
      <c r="C22" s="2">
        <v>-206</v>
      </c>
      <c r="D22" s="2">
        <v>204</v>
      </c>
      <c r="E22"/>
      <c r="G22" s="2">
        <v>-173</v>
      </c>
      <c r="H22" s="2">
        <v>-189</v>
      </c>
      <c r="I22" s="2">
        <v>163</v>
      </c>
      <c r="J22" s="2">
        <v>254</v>
      </c>
      <c r="K22" s="2">
        <v>-445</v>
      </c>
    </row>
    <row r="23" spans="1:17" x14ac:dyDescent="0.25">
      <c r="A23" s="2">
        <v>149</v>
      </c>
      <c r="B23" s="2">
        <v>76</v>
      </c>
      <c r="C23" s="2">
        <v>-16</v>
      </c>
      <c r="D23" s="2">
        <v>-169</v>
      </c>
      <c r="E23"/>
      <c r="G23" s="2">
        <v>30</v>
      </c>
      <c r="H23" s="2">
        <v>-635</v>
      </c>
      <c r="I23" s="2">
        <v>546</v>
      </c>
      <c r="J23" s="2">
        <v>276</v>
      </c>
      <c r="K23" s="2">
        <v>-249</v>
      </c>
    </row>
    <row r="24" spans="1:17" x14ac:dyDescent="0.25">
      <c r="A24" s="2">
        <v>-108</v>
      </c>
      <c r="B24" s="2">
        <v>-107</v>
      </c>
      <c r="C24" s="2">
        <v>-304</v>
      </c>
      <c r="D24" s="2">
        <v>3</v>
      </c>
      <c r="E24"/>
      <c r="G24" s="2">
        <v>-301</v>
      </c>
      <c r="H24" s="2">
        <v>-291</v>
      </c>
      <c r="I24" s="2">
        <v>109</v>
      </c>
      <c r="J24" s="2">
        <v>-27</v>
      </c>
      <c r="K24" s="2">
        <v>331</v>
      </c>
    </row>
    <row r="25" spans="1:17" x14ac:dyDescent="0.25">
      <c r="A25" s="2">
        <v>-213</v>
      </c>
      <c r="B25" s="2">
        <v>-182</v>
      </c>
      <c r="C25" s="2">
        <v>275</v>
      </c>
      <c r="D25" s="2">
        <v>228</v>
      </c>
      <c r="E25"/>
      <c r="G25"/>
      <c r="H25"/>
      <c r="I25"/>
      <c r="J25"/>
      <c r="K25"/>
    </row>
  </sheetData>
  <mergeCells count="11">
    <mergeCell ref="A11:B11"/>
    <mergeCell ref="G11:H11"/>
    <mergeCell ref="M11:N11"/>
    <mergeCell ref="A19:B19"/>
    <mergeCell ref="G19:H19"/>
    <mergeCell ref="A1:B1"/>
    <mergeCell ref="G1:H1"/>
    <mergeCell ref="M1:N1"/>
    <mergeCell ref="M9:N9"/>
    <mergeCell ref="S1:T1"/>
    <mergeCell ref="A9:C9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F015-796D-4431-8055-33A3A462F28E}">
  <dimension ref="A1:V17"/>
  <sheetViews>
    <sheetView zoomScaleNormal="100" workbookViewId="0">
      <selection activeCell="C1" sqref="C1"/>
    </sheetView>
  </sheetViews>
  <sheetFormatPr defaultRowHeight="15" x14ac:dyDescent="0.25"/>
  <sheetData>
    <row r="1" spans="1:22" ht="15.75" x14ac:dyDescent="0.25">
      <c r="A1" s="13" t="s">
        <v>0</v>
      </c>
      <c r="B1" s="13"/>
      <c r="C1" s="1"/>
      <c r="D1" s="1"/>
      <c r="E1" s="1"/>
      <c r="F1" s="1"/>
      <c r="G1" s="13" t="s">
        <v>1</v>
      </c>
      <c r="H1" s="13"/>
      <c r="I1" s="1"/>
      <c r="J1" s="1"/>
      <c r="K1" s="1"/>
      <c r="L1" s="1"/>
      <c r="M1" s="13" t="s">
        <v>2</v>
      </c>
      <c r="N1" s="13"/>
      <c r="O1" s="1"/>
      <c r="P1" s="1"/>
      <c r="Q1" s="1"/>
      <c r="R1" s="1"/>
      <c r="S1" s="13" t="s">
        <v>3</v>
      </c>
      <c r="T1" s="13"/>
      <c r="U1" s="1"/>
      <c r="V1" s="1"/>
    </row>
    <row r="2" spans="1:22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25">
      <c r="A3" s="6">
        <v>-10</v>
      </c>
      <c r="B3" s="6">
        <v>5</v>
      </c>
      <c r="C3" s="6">
        <v>-11</v>
      </c>
      <c r="D3" s="6">
        <v>3</v>
      </c>
      <c r="E3" s="6">
        <v>1</v>
      </c>
      <c r="F3" s="1"/>
      <c r="G3" s="6">
        <v>10</v>
      </c>
      <c r="H3" s="6">
        <v>-14</v>
      </c>
      <c r="I3" s="6">
        <v>14</v>
      </c>
      <c r="J3" s="6">
        <v>5</v>
      </c>
      <c r="K3" s="6">
        <v>8</v>
      </c>
      <c r="L3" s="1"/>
      <c r="M3" s="6">
        <v>-18</v>
      </c>
      <c r="N3" s="6">
        <v>-8</v>
      </c>
      <c r="O3" s="6">
        <v>20</v>
      </c>
      <c r="P3" s="6">
        <v>12</v>
      </c>
      <c r="Q3" s="6">
        <v>-8</v>
      </c>
      <c r="R3" s="1"/>
      <c r="S3" s="3">
        <v>-15</v>
      </c>
      <c r="T3" s="3">
        <v>-2</v>
      </c>
      <c r="U3" s="3">
        <v>2</v>
      </c>
      <c r="V3" s="3">
        <v>18</v>
      </c>
    </row>
    <row r="4" spans="1:22" ht="15.75" x14ac:dyDescent="0.25">
      <c r="A4" s="6">
        <v>3</v>
      </c>
      <c r="B4" s="6">
        <v>1</v>
      </c>
      <c r="C4" s="6">
        <v>8</v>
      </c>
      <c r="D4" s="6">
        <v>11</v>
      </c>
      <c r="E4" s="6">
        <v>9</v>
      </c>
      <c r="F4" s="1"/>
      <c r="G4" s="6">
        <v>20</v>
      </c>
      <c r="H4" s="6">
        <v>19</v>
      </c>
      <c r="I4" s="6">
        <v>-18</v>
      </c>
      <c r="J4" s="6">
        <v>-1</v>
      </c>
      <c r="K4" s="6">
        <v>11</v>
      </c>
      <c r="L4" s="1"/>
      <c r="M4" s="6">
        <v>-12</v>
      </c>
      <c r="N4" s="6">
        <v>1</v>
      </c>
      <c r="O4" s="6">
        <v>-1</v>
      </c>
      <c r="P4" s="6">
        <v>-14</v>
      </c>
      <c r="Q4" s="6">
        <v>18</v>
      </c>
      <c r="R4" s="1"/>
      <c r="S4" s="3">
        <v>0</v>
      </c>
      <c r="T4" s="3">
        <v>-3</v>
      </c>
      <c r="U4" s="3">
        <v>-4</v>
      </c>
      <c r="V4" s="3">
        <v>-2</v>
      </c>
    </row>
    <row r="5" spans="1:22" ht="15.75" x14ac:dyDescent="0.25">
      <c r="A5" s="6">
        <v>11</v>
      </c>
      <c r="B5" s="6">
        <v>11</v>
      </c>
      <c r="C5" s="6">
        <v>2</v>
      </c>
      <c r="D5" s="6">
        <v>19</v>
      </c>
      <c r="E5" s="6">
        <v>15</v>
      </c>
      <c r="F5" s="1"/>
      <c r="G5" s="6">
        <v>-9</v>
      </c>
      <c r="H5" s="6">
        <v>-6</v>
      </c>
      <c r="I5" s="6">
        <v>-5</v>
      </c>
      <c r="J5" s="6">
        <v>1</v>
      </c>
      <c r="K5" s="6">
        <v>2</v>
      </c>
      <c r="L5" s="1"/>
      <c r="M5" s="6">
        <v>17</v>
      </c>
      <c r="N5" s="6">
        <v>-4</v>
      </c>
      <c r="O5" s="6">
        <v>7</v>
      </c>
      <c r="P5" s="6">
        <v>-7</v>
      </c>
      <c r="Q5" s="6">
        <v>20</v>
      </c>
      <c r="R5" s="1"/>
      <c r="S5" s="3">
        <v>1</v>
      </c>
      <c r="T5" s="3">
        <v>-2</v>
      </c>
      <c r="U5" s="3">
        <v>1</v>
      </c>
      <c r="V5" s="3">
        <v>2</v>
      </c>
    </row>
    <row r="6" spans="1:22" ht="15.75" x14ac:dyDescent="0.25">
      <c r="A6" s="6">
        <v>-17</v>
      </c>
      <c r="B6" s="6">
        <v>10</v>
      </c>
      <c r="C6" s="6">
        <v>18</v>
      </c>
      <c r="D6" s="6">
        <v>-9</v>
      </c>
      <c r="E6" s="6">
        <v>15</v>
      </c>
      <c r="F6" s="1"/>
      <c r="G6" s="6">
        <v>11</v>
      </c>
      <c r="H6" s="6">
        <v>17</v>
      </c>
      <c r="I6" s="6">
        <v>-13</v>
      </c>
      <c r="J6" s="6">
        <v>-20</v>
      </c>
      <c r="K6" s="6">
        <v>5</v>
      </c>
      <c r="L6" s="1"/>
      <c r="M6" s="6">
        <v>13</v>
      </c>
      <c r="N6" s="6">
        <v>-13</v>
      </c>
      <c r="O6" s="6">
        <v>15</v>
      </c>
      <c r="P6" s="6">
        <v>4</v>
      </c>
      <c r="Q6" s="6">
        <v>-20</v>
      </c>
      <c r="R6" s="1"/>
      <c r="S6" s="3">
        <v>-1</v>
      </c>
      <c r="T6" s="3">
        <v>6</v>
      </c>
      <c r="U6" s="3">
        <v>9</v>
      </c>
      <c r="V6" s="3">
        <v>5</v>
      </c>
    </row>
    <row r="7" spans="1:22" ht="15.75" x14ac:dyDescent="0.25">
      <c r="A7" s="6">
        <v>-9</v>
      </c>
      <c r="B7" s="6">
        <v>14</v>
      </c>
      <c r="C7" s="6">
        <v>-10</v>
      </c>
      <c r="D7" s="6">
        <v>-10</v>
      </c>
      <c r="E7" s="6">
        <v>-6</v>
      </c>
      <c r="F7" s="1"/>
      <c r="G7" s="6">
        <v>4</v>
      </c>
      <c r="H7" s="6">
        <v>-8</v>
      </c>
      <c r="I7" s="6">
        <v>9</v>
      </c>
      <c r="J7" s="6">
        <v>2</v>
      </c>
      <c r="K7" s="6">
        <v>-16</v>
      </c>
      <c r="L7" s="1"/>
      <c r="M7" s="1"/>
      <c r="N7" s="1"/>
      <c r="O7" s="1"/>
      <c r="P7" s="1"/>
      <c r="Q7" s="1"/>
      <c r="R7" s="1"/>
      <c r="S7" s="3">
        <v>10</v>
      </c>
      <c r="T7" s="3">
        <v>12</v>
      </c>
      <c r="U7" s="3">
        <v>-13</v>
      </c>
      <c r="V7" s="3">
        <v>-7</v>
      </c>
    </row>
    <row r="9" spans="1:22" ht="15.75" x14ac:dyDescent="0.25">
      <c r="A9" s="10" t="s">
        <v>31</v>
      </c>
      <c r="B9" s="15"/>
      <c r="C9" s="15"/>
    </row>
    <row r="11" spans="1:22" x14ac:dyDescent="0.25">
      <c r="A11" s="15" t="s">
        <v>32</v>
      </c>
      <c r="B11" s="15"/>
      <c r="G11" s="15" t="s">
        <v>33</v>
      </c>
      <c r="H11" s="15"/>
      <c r="M11" s="15" t="s">
        <v>34</v>
      </c>
      <c r="N11" s="15"/>
      <c r="R11" s="15" t="s">
        <v>35</v>
      </c>
      <c r="S11" s="15"/>
    </row>
    <row r="13" spans="1:22" x14ac:dyDescent="0.25">
      <c r="A13" s="2">
        <f t="array" ref="A13:E17">TRANSPOSE(A3:E7)</f>
        <v>-10</v>
      </c>
      <c r="B13" s="2">
        <v>3</v>
      </c>
      <c r="C13" s="2">
        <v>11</v>
      </c>
      <c r="D13" s="2">
        <v>-17</v>
      </c>
      <c r="E13" s="2">
        <v>-9</v>
      </c>
      <c r="G13" s="2">
        <f t="array" ref="G13:K17">TRANSPOSE(G3:K7)</f>
        <v>10</v>
      </c>
      <c r="H13" s="2">
        <v>20</v>
      </c>
      <c r="I13" s="2">
        <v>-9</v>
      </c>
      <c r="J13" s="2">
        <v>11</v>
      </c>
      <c r="K13" s="2">
        <v>4</v>
      </c>
      <c r="M13" s="2">
        <f t="array" ref="M13:P17">TRANSPOSE(M3:Q6)</f>
        <v>-18</v>
      </c>
      <c r="N13" s="2">
        <v>-12</v>
      </c>
      <c r="O13" s="2">
        <v>17</v>
      </c>
      <c r="P13" s="2">
        <v>13</v>
      </c>
      <c r="R13" s="2">
        <f t="array" ref="R13:V16">TRANSPOSE(S3:V7)</f>
        <v>-15</v>
      </c>
      <c r="S13" s="2">
        <v>0</v>
      </c>
      <c r="T13" s="2">
        <v>1</v>
      </c>
      <c r="U13" s="2">
        <v>-1</v>
      </c>
      <c r="V13" s="2">
        <v>10</v>
      </c>
    </row>
    <row r="14" spans="1:22" x14ac:dyDescent="0.25">
      <c r="A14" s="2">
        <v>5</v>
      </c>
      <c r="B14" s="2">
        <v>1</v>
      </c>
      <c r="C14" s="2">
        <v>11</v>
      </c>
      <c r="D14" s="2">
        <v>10</v>
      </c>
      <c r="E14" s="2">
        <v>14</v>
      </c>
      <c r="G14" s="2">
        <v>-14</v>
      </c>
      <c r="H14" s="2">
        <v>19</v>
      </c>
      <c r="I14" s="2">
        <v>-6</v>
      </c>
      <c r="J14" s="2">
        <v>17</v>
      </c>
      <c r="K14" s="2">
        <v>-8</v>
      </c>
      <c r="M14" s="2">
        <v>-8</v>
      </c>
      <c r="N14" s="2">
        <v>1</v>
      </c>
      <c r="O14" s="2">
        <v>-4</v>
      </c>
      <c r="P14" s="2">
        <v>-13</v>
      </c>
      <c r="R14" s="2">
        <v>-2</v>
      </c>
      <c r="S14" s="2">
        <v>-3</v>
      </c>
      <c r="T14" s="2">
        <v>-2</v>
      </c>
      <c r="U14" s="2">
        <v>6</v>
      </c>
      <c r="V14" s="2">
        <v>12</v>
      </c>
    </row>
    <row r="15" spans="1:22" x14ac:dyDescent="0.25">
      <c r="A15" s="2">
        <v>-11</v>
      </c>
      <c r="B15" s="2">
        <v>8</v>
      </c>
      <c r="C15" s="2">
        <v>2</v>
      </c>
      <c r="D15" s="2">
        <v>18</v>
      </c>
      <c r="E15" s="2">
        <v>-10</v>
      </c>
      <c r="G15" s="2">
        <v>14</v>
      </c>
      <c r="H15" s="2">
        <v>-18</v>
      </c>
      <c r="I15" s="2">
        <v>-5</v>
      </c>
      <c r="J15" s="2">
        <v>-13</v>
      </c>
      <c r="K15" s="2">
        <v>9</v>
      </c>
      <c r="M15" s="2">
        <v>20</v>
      </c>
      <c r="N15" s="2">
        <v>-1</v>
      </c>
      <c r="O15" s="2">
        <v>7</v>
      </c>
      <c r="P15" s="2">
        <v>15</v>
      </c>
      <c r="R15" s="2">
        <v>2</v>
      </c>
      <c r="S15" s="2">
        <v>-4</v>
      </c>
      <c r="T15" s="2">
        <v>1</v>
      </c>
      <c r="U15" s="2">
        <v>9</v>
      </c>
      <c r="V15" s="2">
        <v>-13</v>
      </c>
    </row>
    <row r="16" spans="1:22" x14ac:dyDescent="0.25">
      <c r="A16" s="2">
        <v>3</v>
      </c>
      <c r="B16" s="2">
        <v>11</v>
      </c>
      <c r="C16" s="2">
        <v>19</v>
      </c>
      <c r="D16" s="2">
        <v>-9</v>
      </c>
      <c r="E16" s="2">
        <v>-10</v>
      </c>
      <c r="G16" s="2">
        <v>5</v>
      </c>
      <c r="H16" s="2">
        <v>-1</v>
      </c>
      <c r="I16" s="2">
        <v>1</v>
      </c>
      <c r="J16" s="2">
        <v>-20</v>
      </c>
      <c r="K16" s="2">
        <v>2</v>
      </c>
      <c r="M16" s="2">
        <v>12</v>
      </c>
      <c r="N16" s="2">
        <v>-14</v>
      </c>
      <c r="O16" s="2">
        <v>-7</v>
      </c>
      <c r="P16" s="2">
        <v>4</v>
      </c>
      <c r="R16" s="2">
        <v>18</v>
      </c>
      <c r="S16" s="2">
        <v>-2</v>
      </c>
      <c r="T16" s="2">
        <v>2</v>
      </c>
      <c r="U16" s="2">
        <v>5</v>
      </c>
      <c r="V16" s="2">
        <v>-7</v>
      </c>
    </row>
    <row r="17" spans="1:16" x14ac:dyDescent="0.25">
      <c r="A17" s="2">
        <v>1</v>
      </c>
      <c r="B17" s="2">
        <v>9</v>
      </c>
      <c r="C17" s="2">
        <v>15</v>
      </c>
      <c r="D17" s="2">
        <v>15</v>
      </c>
      <c r="E17" s="2">
        <v>-6</v>
      </c>
      <c r="G17" s="2">
        <v>8</v>
      </c>
      <c r="H17" s="2">
        <v>11</v>
      </c>
      <c r="I17" s="2">
        <v>2</v>
      </c>
      <c r="J17" s="2">
        <v>5</v>
      </c>
      <c r="K17" s="2">
        <v>-16</v>
      </c>
      <c r="M17" s="2">
        <v>-8</v>
      </c>
      <c r="N17" s="2">
        <v>18</v>
      </c>
      <c r="O17" s="2">
        <v>20</v>
      </c>
      <c r="P17" s="2">
        <v>-20</v>
      </c>
    </row>
  </sheetData>
  <mergeCells count="9">
    <mergeCell ref="A11:B11"/>
    <mergeCell ref="G11:H11"/>
    <mergeCell ref="M11:N11"/>
    <mergeCell ref="R11:S11"/>
    <mergeCell ref="A1:B1"/>
    <mergeCell ref="G1:H1"/>
    <mergeCell ref="M1:N1"/>
    <mergeCell ref="S1:T1"/>
    <mergeCell ref="A9:C9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B2CA-FEEF-4E87-A16A-5B158DD137A0}">
  <dimension ref="A1:T27"/>
  <sheetViews>
    <sheetView zoomScaleNormal="100" workbookViewId="0">
      <selection activeCell="D1" sqref="D1"/>
    </sheetView>
  </sheetViews>
  <sheetFormatPr defaultRowHeight="15.75" x14ac:dyDescent="0.25"/>
  <cols>
    <col min="1" max="16384" width="9.140625" style="1"/>
  </cols>
  <sheetData>
    <row r="1" spans="1:20" x14ac:dyDescent="0.25">
      <c r="A1" s="10" t="s">
        <v>36</v>
      </c>
      <c r="B1" s="10"/>
      <c r="C1" s="1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 s="7"/>
      <c r="S2" s="7"/>
      <c r="T2" s="7"/>
    </row>
    <row r="3" spans="1:20" x14ac:dyDescent="0.25">
      <c r="A3" s="13" t="s">
        <v>0</v>
      </c>
      <c r="B3" s="13"/>
      <c r="C3"/>
      <c r="D3" s="15" t="s">
        <v>1</v>
      </c>
      <c r="E3" s="15"/>
      <c r="F3"/>
      <c r="G3" s="15" t="s">
        <v>2</v>
      </c>
      <c r="H3" s="15"/>
      <c r="I3" s="8"/>
      <c r="J3"/>
      <c r="K3" s="15" t="s">
        <v>3</v>
      </c>
      <c r="L3" s="15"/>
      <c r="M3" s="8"/>
      <c r="N3" s="8"/>
      <c r="O3"/>
      <c r="P3" s="15" t="s">
        <v>4</v>
      </c>
      <c r="Q3" s="15"/>
      <c r="R3" s="7"/>
      <c r="S3" s="7"/>
      <c r="T3" s="7"/>
    </row>
    <row r="4" spans="1:20" x14ac:dyDescent="0.25">
      <c r="A4"/>
      <c r="B4"/>
      <c r="C4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2">
        <v>2</v>
      </c>
      <c r="B5"/>
      <c r="C5"/>
      <c r="D5" s="2">
        <v>1</v>
      </c>
      <c r="E5" s="2">
        <v>2</v>
      </c>
      <c r="F5" s="7"/>
      <c r="G5" s="2">
        <v>2</v>
      </c>
      <c r="H5" s="2">
        <v>3</v>
      </c>
      <c r="I5" s="2">
        <v>1</v>
      </c>
      <c r="J5" s="7"/>
      <c r="K5" s="2">
        <v>2</v>
      </c>
      <c r="L5" s="2">
        <v>-5</v>
      </c>
      <c r="M5" s="2">
        <v>1</v>
      </c>
      <c r="N5" s="2">
        <v>2</v>
      </c>
      <c r="O5" s="7"/>
      <c r="P5" s="2">
        <v>4</v>
      </c>
      <c r="Q5" s="2">
        <v>5</v>
      </c>
      <c r="R5" s="2">
        <v>6</v>
      </c>
      <c r="S5" s="2">
        <v>5</v>
      </c>
      <c r="T5" s="2">
        <v>11</v>
      </c>
    </row>
    <row r="6" spans="1:20" x14ac:dyDescent="0.25">
      <c r="A6"/>
      <c r="B6"/>
      <c r="C6"/>
      <c r="D6" s="2">
        <v>3</v>
      </c>
      <c r="E6" s="2">
        <v>4</v>
      </c>
      <c r="F6" s="7"/>
      <c r="G6" s="2">
        <v>5</v>
      </c>
      <c r="H6" s="2">
        <v>7</v>
      </c>
      <c r="I6" s="2">
        <v>8</v>
      </c>
      <c r="J6" s="7"/>
      <c r="K6" s="2">
        <v>-3</v>
      </c>
      <c r="L6" s="2">
        <v>7</v>
      </c>
      <c r="M6" s="2">
        <v>-1</v>
      </c>
      <c r="N6" s="2">
        <v>4</v>
      </c>
      <c r="O6" s="7"/>
      <c r="P6" s="2">
        <v>1</v>
      </c>
      <c r="Q6" s="2">
        <v>4</v>
      </c>
      <c r="R6" s="2">
        <v>2</v>
      </c>
      <c r="S6" s="2">
        <v>0</v>
      </c>
      <c r="T6" s="2">
        <v>13</v>
      </c>
    </row>
    <row r="7" spans="1:20" x14ac:dyDescent="0.25">
      <c r="A7" s="7" t="s">
        <v>37</v>
      </c>
      <c r="B7" s="2">
        <f>MDETERM(A5)</f>
        <v>2</v>
      </c>
      <c r="C7"/>
      <c r="D7" s="7"/>
      <c r="E7" s="7"/>
      <c r="F7" s="7"/>
      <c r="G7" s="2">
        <v>9</v>
      </c>
      <c r="H7" s="2">
        <v>4</v>
      </c>
      <c r="I7" s="2">
        <v>6</v>
      </c>
      <c r="J7" s="7"/>
      <c r="K7" s="2">
        <v>5</v>
      </c>
      <c r="L7" s="2">
        <v>-9</v>
      </c>
      <c r="M7" s="2">
        <v>2</v>
      </c>
      <c r="N7" s="2">
        <v>7</v>
      </c>
      <c r="O7" s="7"/>
      <c r="P7" s="2">
        <v>1</v>
      </c>
      <c r="Q7" s="2">
        <v>1</v>
      </c>
      <c r="R7" s="2">
        <v>0</v>
      </c>
      <c r="S7" s="2">
        <v>-1</v>
      </c>
      <c r="T7" s="2">
        <v>5</v>
      </c>
    </row>
    <row r="8" spans="1:20" x14ac:dyDescent="0.25">
      <c r="A8"/>
      <c r="B8"/>
      <c r="C8"/>
      <c r="D8" s="7" t="s">
        <v>37</v>
      </c>
      <c r="E8" s="2">
        <f>MDETERM(D5:E6)</f>
        <v>-2</v>
      </c>
      <c r="F8" s="7"/>
      <c r="G8" s="7"/>
      <c r="H8" s="7"/>
      <c r="I8" s="7"/>
      <c r="J8" s="7"/>
      <c r="K8" s="2">
        <v>4</v>
      </c>
      <c r="L8" s="2">
        <v>-6</v>
      </c>
      <c r="M8" s="2">
        <v>1</v>
      </c>
      <c r="N8" s="2">
        <v>2</v>
      </c>
      <c r="O8" s="7"/>
      <c r="P8" s="2">
        <v>3</v>
      </c>
      <c r="Q8" s="2">
        <v>2</v>
      </c>
      <c r="R8" s="2">
        <v>3</v>
      </c>
      <c r="S8" s="2">
        <v>0</v>
      </c>
      <c r="T8" s="2">
        <v>7</v>
      </c>
    </row>
    <row r="9" spans="1:20" x14ac:dyDescent="0.25">
      <c r="A9"/>
      <c r="B9"/>
      <c r="C9"/>
      <c r="D9" s="7"/>
      <c r="E9" s="7"/>
      <c r="F9" s="7"/>
      <c r="G9" s="7" t="s">
        <v>37</v>
      </c>
      <c r="H9" s="2">
        <f>MDETERM(G5:I7)</f>
        <v>102.99999999999999</v>
      </c>
      <c r="I9" s="7"/>
      <c r="J9" s="7"/>
      <c r="K9" s="7"/>
      <c r="L9" s="7"/>
      <c r="M9" s="7"/>
      <c r="N9" s="7"/>
      <c r="O9" s="7"/>
      <c r="P9" s="2">
        <v>4</v>
      </c>
      <c r="Q9" s="2">
        <v>1</v>
      </c>
      <c r="R9" s="2">
        <v>2</v>
      </c>
      <c r="S9" s="2">
        <v>3</v>
      </c>
      <c r="T9" s="2">
        <v>8</v>
      </c>
    </row>
    <row r="10" spans="1:20" x14ac:dyDescent="0.25">
      <c r="A10"/>
      <c r="B10"/>
      <c r="C10"/>
      <c r="D10" s="7"/>
      <c r="E10" s="7"/>
      <c r="F10" s="7"/>
      <c r="G10" s="7"/>
      <c r="H10" s="7"/>
      <c r="I10" s="7"/>
      <c r="J10" s="7"/>
      <c r="K10" s="7" t="s">
        <v>37</v>
      </c>
      <c r="L10" s="2">
        <f>MDETERM(K5:N8)</f>
        <v>-8.9999999999999929</v>
      </c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/>
      <c r="B11"/>
      <c r="C11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 t="s">
        <v>37</v>
      </c>
      <c r="Q11" s="2">
        <f>MDETERM(P5:T9)</f>
        <v>264.00000000000006</v>
      </c>
      <c r="R11" s="7"/>
      <c r="S11" s="7"/>
      <c r="T11" s="7"/>
    </row>
    <row r="12" spans="1:20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</row>
    <row r="13" spans="1:20" x14ac:dyDescent="0.25">
      <c r="A13" s="16"/>
      <c r="B13" s="16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 spans="1:20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20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20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 x14ac:dyDescent="0.25">
      <c r="A18" s="16"/>
      <c r="B18" s="16"/>
      <c r="C18"/>
      <c r="D18" s="16"/>
      <c r="E18" s="16"/>
      <c r="F18"/>
      <c r="G18"/>
      <c r="H18" s="16"/>
      <c r="I18" s="16"/>
      <c r="J18"/>
      <c r="K18"/>
      <c r="L18"/>
      <c r="M18" s="16"/>
      <c r="N18" s="16"/>
      <c r="O18"/>
      <c r="P18"/>
      <c r="Q18"/>
    </row>
    <row r="19" spans="1:17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17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</sheetData>
  <mergeCells count="11">
    <mergeCell ref="A1:C1"/>
    <mergeCell ref="A3:B3"/>
    <mergeCell ref="D3:E3"/>
    <mergeCell ref="G3:H3"/>
    <mergeCell ref="K3:L3"/>
    <mergeCell ref="P3:Q3"/>
    <mergeCell ref="A13:B13"/>
    <mergeCell ref="A18:B18"/>
    <mergeCell ref="D18:E18"/>
    <mergeCell ref="H18:I18"/>
    <mergeCell ref="M18:N18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76C6-0DD1-485D-A058-F4EBCACF8182}">
  <dimension ref="A1:T17"/>
  <sheetViews>
    <sheetView zoomScaleNormal="100" workbookViewId="0">
      <selection activeCell="C1" sqref="C1"/>
    </sheetView>
  </sheetViews>
  <sheetFormatPr defaultRowHeight="15.75" x14ac:dyDescent="0.25"/>
  <cols>
    <col min="1" max="16384" width="9.140625" style="7"/>
  </cols>
  <sheetData>
    <row r="1" spans="1:20" x14ac:dyDescent="0.25">
      <c r="A1" s="13" t="s">
        <v>0</v>
      </c>
      <c r="B1" s="13"/>
      <c r="C1"/>
      <c r="D1" s="15" t="s">
        <v>1</v>
      </c>
      <c r="E1" s="15"/>
      <c r="F1"/>
      <c r="G1" s="15" t="s">
        <v>2</v>
      </c>
      <c r="H1" s="15"/>
      <c r="I1" s="8"/>
      <c r="J1"/>
      <c r="K1" s="15" t="s">
        <v>3</v>
      </c>
      <c r="L1" s="15"/>
      <c r="M1" s="8"/>
      <c r="N1" s="8"/>
      <c r="O1"/>
      <c r="P1" s="15" t="s">
        <v>4</v>
      </c>
      <c r="Q1" s="15"/>
    </row>
    <row r="2" spans="1:20" x14ac:dyDescent="0.25">
      <c r="A2"/>
      <c r="B2"/>
      <c r="C2"/>
    </row>
    <row r="3" spans="1:20" x14ac:dyDescent="0.25">
      <c r="A3" s="2">
        <v>2</v>
      </c>
      <c r="B3"/>
      <c r="C3"/>
      <c r="D3" s="2">
        <v>3</v>
      </c>
      <c r="E3" s="2">
        <v>4</v>
      </c>
      <c r="G3" s="2">
        <v>2</v>
      </c>
      <c r="H3" s="2">
        <v>5</v>
      </c>
      <c r="I3" s="2">
        <v>7</v>
      </c>
      <c r="K3" s="2">
        <v>2</v>
      </c>
      <c r="L3" s="2">
        <v>1</v>
      </c>
      <c r="M3" s="2">
        <v>0</v>
      </c>
      <c r="N3" s="2">
        <v>0</v>
      </c>
      <c r="P3" s="2">
        <v>4</v>
      </c>
      <c r="Q3" s="2">
        <v>5</v>
      </c>
      <c r="R3" s="2">
        <v>6</v>
      </c>
      <c r="S3" s="2">
        <v>5</v>
      </c>
      <c r="T3" s="2">
        <v>11</v>
      </c>
    </row>
    <row r="4" spans="1:20" x14ac:dyDescent="0.25">
      <c r="A4"/>
      <c r="B4"/>
      <c r="C4"/>
      <c r="D4" s="2">
        <v>5</v>
      </c>
      <c r="E4" s="2">
        <v>7</v>
      </c>
      <c r="G4" s="2">
        <v>6</v>
      </c>
      <c r="H4" s="2">
        <v>3</v>
      </c>
      <c r="I4" s="2">
        <v>4</v>
      </c>
      <c r="K4" s="2">
        <v>3</v>
      </c>
      <c r="L4" s="2">
        <v>2</v>
      </c>
      <c r="M4" s="2">
        <v>0</v>
      </c>
      <c r="N4" s="2">
        <v>0</v>
      </c>
      <c r="P4" s="2">
        <v>1</v>
      </c>
      <c r="Q4" s="2">
        <v>4</v>
      </c>
      <c r="R4" s="2">
        <v>2</v>
      </c>
      <c r="S4" s="2">
        <v>0</v>
      </c>
      <c r="T4" s="2">
        <v>13</v>
      </c>
    </row>
    <row r="5" spans="1:20" x14ac:dyDescent="0.25">
      <c r="A5"/>
      <c r="B5"/>
      <c r="C5"/>
      <c r="G5" s="2">
        <v>5</v>
      </c>
      <c r="H5" s="2">
        <v>-2</v>
      </c>
      <c r="I5" s="2">
        <v>-3</v>
      </c>
      <c r="K5" s="2">
        <v>1</v>
      </c>
      <c r="L5" s="2">
        <v>1</v>
      </c>
      <c r="M5" s="2">
        <v>3</v>
      </c>
      <c r="N5" s="2">
        <v>4</v>
      </c>
      <c r="P5" s="2">
        <v>1</v>
      </c>
      <c r="Q5" s="2">
        <v>1</v>
      </c>
      <c r="R5" s="2">
        <v>0</v>
      </c>
      <c r="S5" s="2">
        <v>-1</v>
      </c>
      <c r="T5" s="2">
        <v>5</v>
      </c>
    </row>
    <row r="6" spans="1:20" x14ac:dyDescent="0.25">
      <c r="A6"/>
      <c r="B6"/>
      <c r="C6"/>
      <c r="E6"/>
      <c r="K6" s="2">
        <v>2</v>
      </c>
      <c r="L6" s="2">
        <v>-1</v>
      </c>
      <c r="M6" s="2">
        <v>2</v>
      </c>
      <c r="N6" s="2">
        <v>3</v>
      </c>
      <c r="P6" s="2">
        <v>3</v>
      </c>
      <c r="Q6" s="2">
        <v>2</v>
      </c>
      <c r="R6" s="2">
        <v>3</v>
      </c>
      <c r="S6" s="2">
        <v>0</v>
      </c>
      <c r="T6" s="2">
        <v>7</v>
      </c>
    </row>
    <row r="7" spans="1:20" x14ac:dyDescent="0.25">
      <c r="A7"/>
      <c r="B7"/>
      <c r="C7"/>
      <c r="P7" s="2">
        <v>4</v>
      </c>
      <c r="Q7" s="2">
        <v>1</v>
      </c>
      <c r="R7" s="2">
        <v>2</v>
      </c>
      <c r="S7" s="2">
        <v>3</v>
      </c>
      <c r="T7" s="2">
        <v>8</v>
      </c>
    </row>
    <row r="8" spans="1:20" x14ac:dyDescent="0.25">
      <c r="A8"/>
      <c r="B8"/>
      <c r="C8"/>
      <c r="E8"/>
      <c r="F8"/>
      <c r="G8"/>
      <c r="H8"/>
      <c r="I8"/>
      <c r="J8"/>
      <c r="K8"/>
      <c r="L8"/>
      <c r="M8"/>
    </row>
    <row r="9" spans="1:20" x14ac:dyDescent="0.25">
      <c r="A9" s="17" t="s">
        <v>38</v>
      </c>
      <c r="B9" s="13"/>
      <c r="C9" s="13"/>
    </row>
    <row r="11" spans="1:20" x14ac:dyDescent="0.25">
      <c r="A11" s="13" t="s">
        <v>39</v>
      </c>
      <c r="B11" s="13"/>
      <c r="C11"/>
      <c r="D11" s="15" t="s">
        <v>40</v>
      </c>
      <c r="E11" s="15"/>
      <c r="F11"/>
      <c r="G11" s="15" t="s">
        <v>41</v>
      </c>
      <c r="H11" s="15"/>
      <c r="I11" s="8"/>
      <c r="J11"/>
      <c r="K11" s="15" t="s">
        <v>42</v>
      </c>
      <c r="L11" s="15"/>
      <c r="M11" s="8"/>
      <c r="N11" s="8"/>
      <c r="O11"/>
      <c r="P11" s="15" t="s">
        <v>43</v>
      </c>
      <c r="Q11" s="15"/>
    </row>
    <row r="12" spans="1:20" x14ac:dyDescent="0.25">
      <c r="A12"/>
      <c r="B12"/>
      <c r="C12"/>
    </row>
    <row r="13" spans="1:20" x14ac:dyDescent="0.25">
      <c r="A13" s="2">
        <f>MINVERSE(A3)</f>
        <v>0.5</v>
      </c>
      <c r="B13"/>
      <c r="C13"/>
      <c r="D13" s="2">
        <f t="array" ref="D13:E14">MINVERSE(D3:E4)</f>
        <v>6.9999999999999947</v>
      </c>
      <c r="E13" s="2">
        <v>-3.9999999999999964</v>
      </c>
      <c r="G13" s="2">
        <f t="array" ref="G13:I15">MINVERSE(G3:I5)</f>
        <v>1</v>
      </c>
      <c r="H13" s="2">
        <v>-0.99999999999999767</v>
      </c>
      <c r="I13" s="2">
        <v>1</v>
      </c>
      <c r="K13" s="2">
        <f t="array" ref="K13:N16">MINVERSE(K3:N6)</f>
        <v>1.9999999999999982</v>
      </c>
      <c r="L13" s="2">
        <v>-0.99999999999999956</v>
      </c>
      <c r="M13" s="2">
        <v>0</v>
      </c>
      <c r="N13" s="2">
        <v>0</v>
      </c>
      <c r="P13" s="2">
        <f t="array" ref="P13:T17">MINVERSE(P3:T7)</f>
        <v>0.30303030303030298</v>
      </c>
      <c r="Q13" s="2">
        <v>-0.58333333333333304</v>
      </c>
      <c r="R13" s="2">
        <v>1.2196969696969697</v>
      </c>
      <c r="S13" s="2">
        <v>-0.15151515151515138</v>
      </c>
      <c r="T13" s="2">
        <v>-9.8484848484848397E-2</v>
      </c>
    </row>
    <row r="14" spans="1:20" x14ac:dyDescent="0.25">
      <c r="A14"/>
      <c r="B14"/>
      <c r="C14"/>
      <c r="D14" s="2">
        <v>-4.9999999999999956</v>
      </c>
      <c r="E14" s="2">
        <v>2.9999999999999973</v>
      </c>
      <c r="G14" s="2">
        <v>-37.999999999999837</v>
      </c>
      <c r="H14" s="2">
        <v>40.999999999999822</v>
      </c>
      <c r="I14" s="2">
        <v>-33.999999999999858</v>
      </c>
      <c r="K14" s="2">
        <v>-2.9999999999999973</v>
      </c>
      <c r="L14" s="2">
        <v>1.9999999999999993</v>
      </c>
      <c r="M14" s="2">
        <v>0</v>
      </c>
      <c r="N14" s="2">
        <v>0</v>
      </c>
      <c r="P14" s="2">
        <v>0.68181818181818177</v>
      </c>
      <c r="Q14" s="2">
        <v>-0.62499999999999978</v>
      </c>
      <c r="R14" s="2">
        <v>1.8068181818181812</v>
      </c>
      <c r="S14" s="2">
        <v>-0.59090909090909072</v>
      </c>
      <c r="T14" s="2">
        <v>-0.53409090909090884</v>
      </c>
    </row>
    <row r="15" spans="1:20" x14ac:dyDescent="0.25">
      <c r="A15"/>
      <c r="B15"/>
      <c r="C15"/>
      <c r="G15" s="2">
        <v>26.999999999999879</v>
      </c>
      <c r="H15" s="2">
        <v>-28.999999999999869</v>
      </c>
      <c r="I15" s="2">
        <v>23.999999999999893</v>
      </c>
      <c r="K15" s="2">
        <v>31.000000000000025</v>
      </c>
      <c r="L15" s="2">
        <v>-19.000000000000011</v>
      </c>
      <c r="M15" s="2">
        <v>3.0000000000000018</v>
      </c>
      <c r="N15" s="2">
        <v>-4.0000000000000027</v>
      </c>
      <c r="P15" s="2">
        <v>-0.33333333333333326</v>
      </c>
      <c r="Q15" s="2">
        <v>0.41666666666666646</v>
      </c>
      <c r="R15" s="2">
        <v>-1.4166666666666663</v>
      </c>
      <c r="S15" s="2">
        <v>0.66666666666666652</v>
      </c>
      <c r="T15" s="2">
        <v>8.3333333333333134E-2</v>
      </c>
    </row>
    <row r="16" spans="1:20" x14ac:dyDescent="0.25">
      <c r="A16"/>
      <c r="B16"/>
      <c r="C16"/>
      <c r="E16"/>
      <c r="K16" s="2">
        <v>-23.000000000000014</v>
      </c>
      <c r="L16" s="2">
        <v>14.000000000000007</v>
      </c>
      <c r="M16" s="2">
        <v>-2.0000000000000013</v>
      </c>
      <c r="N16" s="2">
        <v>3.0000000000000018</v>
      </c>
      <c r="P16" s="2">
        <v>7.575757575757576E-2</v>
      </c>
      <c r="Q16" s="2">
        <v>4.166666666666665E-2</v>
      </c>
      <c r="R16" s="2">
        <v>-0.13257575757575754</v>
      </c>
      <c r="S16" s="2">
        <v>-0.2878787878787879</v>
      </c>
      <c r="T16" s="2">
        <v>0.1628787878787879</v>
      </c>
    </row>
    <row r="17" spans="1:20" x14ac:dyDescent="0.25">
      <c r="A17"/>
      <c r="B17"/>
      <c r="C17"/>
      <c r="P17" s="2">
        <v>-0.1818181818181818</v>
      </c>
      <c r="Q17" s="2">
        <v>0.24999999999999994</v>
      </c>
      <c r="R17" s="2">
        <v>-0.43181818181818171</v>
      </c>
      <c r="S17" s="2">
        <v>9.090909090909087E-2</v>
      </c>
      <c r="T17" s="2">
        <v>0.15909090909090906</v>
      </c>
    </row>
  </sheetData>
  <mergeCells count="11">
    <mergeCell ref="P11:Q11"/>
    <mergeCell ref="A1:B1"/>
    <mergeCell ref="D1:E1"/>
    <mergeCell ref="G1:H1"/>
    <mergeCell ref="K1:L1"/>
    <mergeCell ref="P1:Q1"/>
    <mergeCell ref="A9:C9"/>
    <mergeCell ref="A11:B11"/>
    <mergeCell ref="D11:E11"/>
    <mergeCell ref="G11:H11"/>
    <mergeCell ref="K11:L11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Мария Кочеткова</cp:lastModifiedBy>
  <dcterms:created xsi:type="dcterms:W3CDTF">2015-06-05T18:19:34Z</dcterms:created>
  <dcterms:modified xsi:type="dcterms:W3CDTF">2022-09-23T16:33:21Z</dcterms:modified>
</cp:coreProperties>
</file>
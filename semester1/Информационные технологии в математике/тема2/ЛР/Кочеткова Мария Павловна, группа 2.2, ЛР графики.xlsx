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686741\Desktop\"/>
    </mc:Choice>
  </mc:AlternateContent>
  <xr:revisionPtr revIDLastSave="0" documentId="13_ncr:1_{7145F300-01A7-4D29-A854-7B8AB815C99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F5" i="4"/>
  <c r="G5" i="4"/>
  <c r="H5" i="4"/>
  <c r="I5" i="4"/>
  <c r="J5" i="4"/>
  <c r="K5" i="4"/>
  <c r="L5" i="4"/>
  <c r="C6" i="4"/>
  <c r="D6" i="4"/>
  <c r="E6" i="4"/>
  <c r="F6" i="4"/>
  <c r="G6" i="4"/>
  <c r="H6" i="4"/>
  <c r="I6" i="4"/>
  <c r="J6" i="4"/>
  <c r="K6" i="4"/>
  <c r="L6" i="4"/>
  <c r="C7" i="4"/>
  <c r="D7" i="4"/>
  <c r="E7" i="4"/>
  <c r="F7" i="4"/>
  <c r="G7" i="4"/>
  <c r="H7" i="4"/>
  <c r="I7" i="4"/>
  <c r="J7" i="4"/>
  <c r="K7" i="4"/>
  <c r="L7" i="4"/>
  <c r="C8" i="4"/>
  <c r="D8" i="4"/>
  <c r="E8" i="4"/>
  <c r="F8" i="4"/>
  <c r="G8" i="4"/>
  <c r="H8" i="4"/>
  <c r="I8" i="4"/>
  <c r="J8" i="4"/>
  <c r="K8" i="4"/>
  <c r="L8" i="4"/>
  <c r="C9" i="4"/>
  <c r="D9" i="4"/>
  <c r="E9" i="4"/>
  <c r="F9" i="4"/>
  <c r="G9" i="4"/>
  <c r="H9" i="4"/>
  <c r="I9" i="4"/>
  <c r="J9" i="4"/>
  <c r="K9" i="4"/>
  <c r="L9" i="4"/>
  <c r="C10" i="4"/>
  <c r="D10" i="4"/>
  <c r="E10" i="4"/>
  <c r="F10" i="4"/>
  <c r="G10" i="4"/>
  <c r="H10" i="4"/>
  <c r="I10" i="4"/>
  <c r="J10" i="4"/>
  <c r="K10" i="4"/>
  <c r="L10" i="4"/>
  <c r="C11" i="4"/>
  <c r="D11" i="4"/>
  <c r="E11" i="4"/>
  <c r="F11" i="4"/>
  <c r="G11" i="4"/>
  <c r="H11" i="4"/>
  <c r="I11" i="4"/>
  <c r="J11" i="4"/>
  <c r="K11" i="4"/>
  <c r="L11" i="4"/>
  <c r="C12" i="4"/>
  <c r="D12" i="4"/>
  <c r="E12" i="4"/>
  <c r="F12" i="4"/>
  <c r="G12" i="4"/>
  <c r="H12" i="4"/>
  <c r="I12" i="4"/>
  <c r="J12" i="4"/>
  <c r="K12" i="4"/>
  <c r="L12" i="4"/>
  <c r="C13" i="4"/>
  <c r="D13" i="4"/>
  <c r="E13" i="4"/>
  <c r="F13" i="4"/>
  <c r="G13" i="4"/>
  <c r="H13" i="4"/>
  <c r="I13" i="4"/>
  <c r="J13" i="4"/>
  <c r="K13" i="4"/>
  <c r="L13" i="4"/>
  <c r="C14" i="4"/>
  <c r="D14" i="4"/>
  <c r="E14" i="4"/>
  <c r="F14" i="4"/>
  <c r="G14" i="4"/>
  <c r="H14" i="4"/>
  <c r="I14" i="4"/>
  <c r="J14" i="4"/>
  <c r="K14" i="4"/>
  <c r="L14" i="4"/>
  <c r="C15" i="4"/>
  <c r="D15" i="4"/>
  <c r="E15" i="4"/>
  <c r="F15" i="4"/>
  <c r="G15" i="4"/>
  <c r="H15" i="4"/>
  <c r="I15" i="4"/>
  <c r="J15" i="4"/>
  <c r="K15" i="4"/>
  <c r="L15" i="4"/>
  <c r="B7" i="4"/>
  <c r="B8" i="4"/>
  <c r="B9" i="4"/>
  <c r="B10" i="4"/>
  <c r="B11" i="4"/>
  <c r="B12" i="4"/>
  <c r="B13" i="4"/>
  <c r="B14" i="4"/>
  <c r="B15" i="4"/>
  <c r="B5" i="4"/>
  <c r="B6" i="4"/>
  <c r="B4" i="4"/>
  <c r="B3" i="3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C2" i="3"/>
  <c r="D2" i="3"/>
  <c r="E2" i="3"/>
  <c r="F2" i="3"/>
  <c r="G2" i="3"/>
  <c r="H2" i="3"/>
  <c r="I2" i="3"/>
  <c r="J2" i="3"/>
  <c r="K2" i="3"/>
  <c r="L2" i="3"/>
  <c r="B2" i="3"/>
  <c r="C85" i="2"/>
  <c r="D85" i="2"/>
  <c r="E85" i="2"/>
  <c r="F85" i="2"/>
  <c r="G85" i="2"/>
  <c r="H85" i="2"/>
  <c r="B85" i="2"/>
  <c r="I68" i="2"/>
  <c r="J68" i="2"/>
  <c r="C68" i="2"/>
  <c r="D68" i="2"/>
  <c r="E68" i="2"/>
  <c r="F68" i="2"/>
  <c r="G68" i="2"/>
  <c r="H68" i="2"/>
  <c r="B68" i="2"/>
  <c r="P51" i="2"/>
  <c r="C51" i="2"/>
  <c r="D51" i="2"/>
  <c r="E51" i="2"/>
  <c r="F51" i="2"/>
  <c r="G51" i="2"/>
  <c r="H51" i="2"/>
  <c r="J51" i="2"/>
  <c r="K51" i="2"/>
  <c r="L51" i="2"/>
  <c r="M51" i="2"/>
  <c r="N51" i="2"/>
  <c r="O51" i="2"/>
  <c r="B51" i="2"/>
  <c r="C34" i="2"/>
  <c r="D34" i="2"/>
  <c r="E34" i="2"/>
  <c r="F34" i="2"/>
  <c r="G34" i="2"/>
  <c r="H34" i="2"/>
  <c r="I34" i="2"/>
  <c r="J34" i="2"/>
  <c r="K34" i="2"/>
  <c r="L34" i="2"/>
  <c r="B34" i="2"/>
  <c r="K17" i="2"/>
  <c r="L17" i="2"/>
  <c r="C17" i="2"/>
  <c r="D17" i="2"/>
  <c r="E17" i="2"/>
  <c r="F17" i="2"/>
  <c r="G17" i="2"/>
  <c r="H17" i="2"/>
  <c r="I17" i="2"/>
  <c r="J17" i="2"/>
  <c r="B17" i="2"/>
  <c r="K2" i="2"/>
  <c r="L2" i="2"/>
  <c r="M2" i="2"/>
  <c r="N2" i="2"/>
  <c r="O2" i="2"/>
  <c r="B2" i="2"/>
  <c r="C2" i="2"/>
  <c r="J2" i="2"/>
  <c r="I2" i="2"/>
  <c r="H2" i="2"/>
  <c r="G2" i="2"/>
  <c r="F2" i="2"/>
  <c r="E2" i="2"/>
  <c r="D2" i="2"/>
  <c r="G5" i="1"/>
  <c r="D5" i="1"/>
  <c r="E5" i="1"/>
  <c r="H5" i="1"/>
  <c r="C5" i="1"/>
  <c r="F5" i="1"/>
  <c r="B5" i="1"/>
  <c r="B2" i="1"/>
  <c r="B1" i="1"/>
</calcChain>
</file>

<file path=xl/sharedStrings.xml><?xml version="1.0" encoding="utf-8"?>
<sst xmlns="http://schemas.openxmlformats.org/spreadsheetml/2006/main" count="18" uniqueCount="11">
  <si>
    <t>k</t>
  </si>
  <si>
    <t>b</t>
  </si>
  <si>
    <t>x</t>
  </si>
  <si>
    <t>y=kx+b</t>
  </si>
  <si>
    <t>y = 2^x + 3</t>
  </si>
  <si>
    <t>y=sqrt(x)</t>
  </si>
  <si>
    <t>y = 7 - |x|</t>
  </si>
  <si>
    <t>y = 1/x</t>
  </si>
  <si>
    <t>y=ln(x)</t>
  </si>
  <si>
    <t>y = ln(5)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</si>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</sst>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9BE5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3" borderId="1" applyNumberFormat="0" applyAlignment="0" applyProtection="0"/>
  </cellStyleXfs>
  <cellXfs count="6">
    <xf numFmtId="0" fontId="0" fillId="0" borderId="0" xfId="0"/>
    <xf numFmtId="0" fontId="2" fillId="3" borderId="1" xfId="2" applyAlignment="1">
      <alignment horizontal="center"/>
    </xf>
    <xf numFmtId="0" fontId="3" fillId="3" borderId="1" xfId="2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1" applyFont="1" applyAlignment="1">
      <alignment horizontal="center"/>
    </xf>
    <xf numFmtId="0" fontId="3" fillId="0" borderId="0" xfId="0" applyFont="1"/>
  </cellXfs>
  <cellStyles count="3">
    <cellStyle name="Вывод" xfId="1" builtinId="21" customBuiltin="1"/>
    <cellStyle name="Вычисление" xfId="2" builtinId="22" customBuiltin="1"/>
    <cellStyle name="Обычный" xfId="0" builtinId="0"/>
  </cellStyles>
  <dxfs count="0"/>
  <tableStyles count="0" defaultTableStyle="TableStyleMedium2" defaultPivotStyle="PivotStyleLight16"/>
  <colors>
    <mruColors>
      <color rgb="FF9BE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</a:t>
            </a:r>
            <a:r>
              <a:rPr lang="en-US" baseline="0"/>
              <a:t> </a:t>
            </a:r>
            <a:r>
              <a:rPr lang="en-US"/>
              <a:t>kx+b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182077650129796E-2"/>
          <c:y val="0.14256830601092896"/>
          <c:w val="0.93465398792364074"/>
          <c:h val="0.79732240437158475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задание1!$A$5</c:f>
              <c:strCache>
                <c:ptCount val="1"/>
                <c:pt idx="0">
                  <c:v>y=kx+b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задание1!$B$4:$H$4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задание1!$B$5:$H$5</c:f>
              <c:numCache>
                <c:formatCode>General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7-476D-AE05-C95296FC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66624"/>
        <c:axId val="663267040"/>
      </c:scatterChart>
      <c:valAx>
        <c:axId val="66326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085136898871245"/>
              <c:y val="0.62522707388849119"/>
            </c:manualLayout>
          </c:layout>
          <c:overlay val="0"/>
          <c:spPr>
            <a:noFill/>
            <a:ln>
              <a:solidFill>
                <a:srgbClr val="FFFFFF">
                  <a:alpha val="0"/>
                </a:srgb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267040"/>
        <c:crosses val="autoZero"/>
        <c:crossBetween val="midCat"/>
      </c:valAx>
      <c:valAx>
        <c:axId val="6632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1366120218579236"/>
              <c:y val="0.12071184283782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266624"/>
        <c:crosses val="autoZero"/>
        <c:crossBetween val="midCat"/>
      </c:valAx>
      <c:spPr>
        <a:noFill/>
        <a:ln w="952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8013779527559056E-2"/>
          <c:y val="0.15319444444444447"/>
          <c:w val="0.93265288713910766"/>
          <c:h val="0.72250801983085444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задание2!$A$2</c:f>
              <c:strCache>
                <c:ptCount val="1"/>
                <c:pt idx="0">
                  <c:v>y = 2^x + 3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задание2!$B$1:$Q$1</c:f>
              <c:numCache>
                <c:formatCode>General</c:formatCode>
                <c:ptCount val="1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</c:numCache>
            </c:numRef>
          </c:xVal>
          <c:yVal>
            <c:numRef>
              <c:f>задание2!$B$2:$Q$2</c:f>
              <c:numCache>
                <c:formatCode>General</c:formatCode>
                <c:ptCount val="16"/>
                <c:pt idx="0">
                  <c:v>3.03125</c:v>
                </c:pt>
                <c:pt idx="1">
                  <c:v>3.0625</c:v>
                </c:pt>
                <c:pt idx="2">
                  <c:v>3.125</c:v>
                </c:pt>
                <c:pt idx="3">
                  <c:v>3.25</c:v>
                </c:pt>
                <c:pt idx="4">
                  <c:v>3.5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19</c:v>
                </c:pt>
                <c:pt idx="10">
                  <c:v>35</c:v>
                </c:pt>
                <c:pt idx="11">
                  <c:v>67</c:v>
                </c:pt>
                <c:pt idx="12">
                  <c:v>131</c:v>
                </c:pt>
                <c:pt idx="13">
                  <c:v>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E-402A-AC9B-D544EAF30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690032"/>
        <c:axId val="871688784"/>
      </c:scatterChart>
      <c:valAx>
        <c:axId val="87169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376325681608646"/>
              <c:y val="0.76961417435248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88784"/>
        <c:crosses val="autoZero"/>
        <c:crossBetween val="midCat"/>
      </c:valAx>
      <c:valAx>
        <c:axId val="8716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39803721858589047"/>
              <c:y val="0.134816974361127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147856517939E-2"/>
          <c:y val="0.11615740740740743"/>
          <c:w val="0.89784951881014874"/>
          <c:h val="0.77644320501603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задание2!$A$17</c:f>
              <c:strCache>
                <c:ptCount val="1"/>
                <c:pt idx="0">
                  <c:v>y=sqrt(x)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задание2!$B$16:$L$16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задание2!$B$17:$L$17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1.4142135623730951</c:v>
                </c:pt>
                <c:pt idx="3">
                  <c:v>1.7320508075688772</c:v>
                </c:pt>
                <c:pt idx="4">
                  <c:v>2</c:v>
                </c:pt>
                <c:pt idx="5">
                  <c:v>2.2360679774997898</c:v>
                </c:pt>
                <c:pt idx="6">
                  <c:v>2.4494897427831779</c:v>
                </c:pt>
                <c:pt idx="7">
                  <c:v>2.6457513110645907</c:v>
                </c:pt>
                <c:pt idx="8">
                  <c:v>2.8284271247461903</c:v>
                </c:pt>
                <c:pt idx="9">
                  <c:v>3</c:v>
                </c:pt>
                <c:pt idx="10">
                  <c:v>3.1622776601683795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E-4A8F-8870-D82D296B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728752"/>
        <c:axId val="894729168"/>
      </c:scatterChart>
      <c:valAx>
        <c:axId val="8947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423042432195976"/>
              <c:y val="0.80717592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729168"/>
        <c:crosses val="autoZero"/>
        <c:crossBetween val="midCat"/>
      </c:valAx>
      <c:valAx>
        <c:axId val="8947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8.0555555555555561E-2"/>
              <c:y val="0.10038604549431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47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791557305336831E-2"/>
          <c:y val="0.17171296296296296"/>
          <c:w val="0.91598622047244105"/>
          <c:h val="0.78361111111111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задание2!$A$34</c:f>
              <c:strCache>
                <c:ptCount val="1"/>
                <c:pt idx="0">
                  <c:v>y = 7 - |x|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задание2!$B$33:$L$33</c:f>
              <c:numCache>
                <c:formatCode>General</c:formatCode>
                <c:ptCount val="11"/>
                <c:pt idx="0">
                  <c:v>-10</c:v>
                </c:pt>
                <c:pt idx="1">
                  <c:v>-7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10</c:v>
                </c:pt>
              </c:numCache>
            </c:numRef>
          </c:xVal>
          <c:yVal>
            <c:numRef>
              <c:f>задание2!$B$34:$L$34</c:f>
              <c:numCache>
                <c:formatCode>General</c:formatCode>
                <c:ptCount val="11"/>
                <c:pt idx="0">
                  <c:v>-3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3-4207-8BD3-9AECE5FF4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918880"/>
        <c:axId val="891910144"/>
      </c:scatterChart>
      <c:valAx>
        <c:axId val="89191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3287755697204511"/>
              <c:y val="0.60810185185185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910144"/>
        <c:crosses val="autoZero"/>
        <c:crossBetween val="midCat"/>
      </c:valAx>
      <c:valAx>
        <c:axId val="8919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0405989635910897"/>
              <c:y val="0.13977785889346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91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1274139218569574E-2"/>
          <c:y val="0.1357687162934561"/>
          <c:w val="0.92133058157623537"/>
          <c:h val="0.81819697767507615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задание2!$A$51</c:f>
              <c:strCache>
                <c:ptCount val="1"/>
                <c:pt idx="0">
                  <c:v>y = 1/x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задание2!$B$50:$P$50</c:f>
              <c:numCache>
                <c:formatCode>General</c:formatCode>
                <c:ptCount val="15"/>
                <c:pt idx="0">
                  <c:v>-4</c:v>
                </c:pt>
                <c:pt idx="1">
                  <c:v>-3.5</c:v>
                </c:pt>
                <c:pt idx="2">
                  <c:v>-2</c:v>
                </c:pt>
                <c:pt idx="3">
                  <c:v>-1.25</c:v>
                </c:pt>
                <c:pt idx="4">
                  <c:v>-1</c:v>
                </c:pt>
                <c:pt idx="5">
                  <c:v>-0.5</c:v>
                </c:pt>
                <c:pt idx="6">
                  <c:v>-0.25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  <c:pt idx="11">
                  <c:v>1.25</c:v>
                </c:pt>
                <c:pt idx="12">
                  <c:v>2</c:v>
                </c:pt>
                <c:pt idx="13">
                  <c:v>3.5</c:v>
                </c:pt>
                <c:pt idx="14">
                  <c:v>4</c:v>
                </c:pt>
              </c:numCache>
            </c:numRef>
          </c:xVal>
          <c:yVal>
            <c:numRef>
              <c:f>задание2!$B$51:$P$51</c:f>
              <c:numCache>
                <c:formatCode>General</c:formatCode>
                <c:ptCount val="15"/>
                <c:pt idx="0">
                  <c:v>-0.25</c:v>
                </c:pt>
                <c:pt idx="1">
                  <c:v>-0.2857142857142857</c:v>
                </c:pt>
                <c:pt idx="2">
                  <c:v>-0.5</c:v>
                </c:pt>
                <c:pt idx="3">
                  <c:v>-0.8</c:v>
                </c:pt>
                <c:pt idx="4">
                  <c:v>-1</c:v>
                </c:pt>
                <c:pt idx="5">
                  <c:v>-2</c:v>
                </c:pt>
                <c:pt idx="6">
                  <c:v>-4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0.2857142857142857</c:v>
                </c:pt>
                <c:pt idx="14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4-453B-9A40-2D726A35D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002016"/>
        <c:axId val="898007008"/>
      </c:scatterChart>
      <c:valAx>
        <c:axId val="89800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4048500344399122"/>
              <c:y val="0.469897764770372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007008"/>
        <c:crosses val="autoZero"/>
        <c:crossBetween val="midCat"/>
      </c:valAx>
      <c:valAx>
        <c:axId val="8980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0921267658896308"/>
              <c:y val="0.11105376551662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00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866891070433541E-2"/>
          <c:y val="0.12631813390374425"/>
          <c:w val="0.89511321135914013"/>
          <c:h val="0.84220351304085495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задание2!$A$68</c:f>
              <c:strCache>
                <c:ptCount val="1"/>
                <c:pt idx="0">
                  <c:v>y=ln(x)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задание2!$B$67:$J$67</c:f>
              <c:numCache>
                <c:formatCode>General</c:formatCode>
                <c:ptCount val="9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3</c:v>
                </c:pt>
                <c:pt idx="5">
                  <c:v>4.5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задание2!$B$68:$J$68</c:f>
              <c:numCache>
                <c:formatCode>General</c:formatCode>
                <c:ptCount val="9"/>
                <c:pt idx="0">
                  <c:v>-1.3862943611198906</c:v>
                </c:pt>
                <c:pt idx="1">
                  <c:v>-0.69314718055994529</c:v>
                </c:pt>
                <c:pt idx="2">
                  <c:v>0</c:v>
                </c:pt>
                <c:pt idx="3">
                  <c:v>0.40546510810816438</c:v>
                </c:pt>
                <c:pt idx="4">
                  <c:v>1.0986122886681098</c:v>
                </c:pt>
                <c:pt idx="5">
                  <c:v>1.5040773967762742</c:v>
                </c:pt>
                <c:pt idx="6">
                  <c:v>1.6094379124341003</c:v>
                </c:pt>
                <c:pt idx="7">
                  <c:v>1.791759469228055</c:v>
                </c:pt>
                <c:pt idx="8">
                  <c:v>2.3025850929940459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8-4474-B9F1-4ED5FEB8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003680"/>
        <c:axId val="898004512"/>
      </c:scatterChart>
      <c:valAx>
        <c:axId val="89800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5175796029055404"/>
              <c:y val="0.50691408626099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004512"/>
        <c:crosses val="autoZero"/>
        <c:crossBetween val="midCat"/>
      </c:valAx>
      <c:valAx>
        <c:axId val="8980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8.4908780516443447E-2"/>
              <c:y val="0.11003932846652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800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9283025174900732E-2"/>
          <c:y val="0.14951427339247525"/>
          <c:w val="0.92512568879824963"/>
          <c:h val="0.74483961319573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задание2!$A$85</c:f>
              <c:strCache>
                <c:ptCount val="1"/>
                <c:pt idx="0">
                  <c:v>y = ln(5)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задание2!$B$84:$H$84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задание2!$B$85:$H$85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4-4307-BE2F-1BB4A022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626352"/>
        <c:axId val="900625520"/>
      </c:scatterChart>
      <c:valAx>
        <c:axId val="90062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3130630250398427"/>
              <c:y val="0.79427815355574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0625520"/>
        <c:crosses val="autoZero"/>
        <c:crossBetween val="midCat"/>
      </c:valAx>
      <c:valAx>
        <c:axId val="9006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1181888320142621"/>
              <c:y val="0.11834135019381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062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Гипербологический</a:t>
            </a:r>
            <a:r>
              <a:rPr lang="ru-RU" baseline="0"/>
              <a:t>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03532370953633"/>
          <c:y val="0.13467592592592592"/>
          <c:w val="0.82810176071741037"/>
          <c:h val="0.76310112277631958"/>
        </c:manualLayout>
      </c:layout>
      <c:surface3DChart>
        <c:wireframe val="0"/>
        <c:ser>
          <c:idx val="0"/>
          <c:order val="0"/>
          <c:tx>
            <c:strRef>
              <c:f>задание3!$A$2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6-4F35-B3F7-C7B2B062D863}"/>
            </c:ext>
          </c:extLst>
        </c:ser>
        <c:ser>
          <c:idx val="1"/>
          <c:order val="1"/>
          <c:tx>
            <c:strRef>
              <c:f>задание3!$A$3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6-4F35-B3F7-C7B2B062D863}"/>
            </c:ext>
          </c:extLst>
        </c:ser>
        <c:ser>
          <c:idx val="2"/>
          <c:order val="2"/>
          <c:tx>
            <c:strRef>
              <c:f>задание3!$A$4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6-4F35-B3F7-C7B2B062D863}"/>
            </c:ext>
          </c:extLst>
        </c:ser>
        <c:ser>
          <c:idx val="3"/>
          <c:order val="3"/>
          <c:tx>
            <c:strRef>
              <c:f>задание3!$A$5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6-4F35-B3F7-C7B2B062D863}"/>
            </c:ext>
          </c:extLst>
        </c:ser>
        <c:ser>
          <c:idx val="4"/>
          <c:order val="4"/>
          <c:tx>
            <c:strRef>
              <c:f>задание3!$A$6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6-4F35-B3F7-C7B2B062D863}"/>
            </c:ext>
          </c:extLst>
        </c:ser>
        <c:ser>
          <c:idx val="5"/>
          <c:order val="5"/>
          <c:tx>
            <c:strRef>
              <c:f>задание3!$A$7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36-4F35-B3F7-C7B2B062D863}"/>
            </c:ext>
          </c:extLst>
        </c:ser>
        <c:ser>
          <c:idx val="6"/>
          <c:order val="6"/>
          <c:tx>
            <c:strRef>
              <c:f>задание3!$A$8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36-4F35-B3F7-C7B2B062D863}"/>
            </c:ext>
          </c:extLst>
        </c:ser>
        <c:ser>
          <c:idx val="7"/>
          <c:order val="7"/>
          <c:tx>
            <c:strRef>
              <c:f>задание3!$A$9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36-4F35-B3F7-C7B2B062D863}"/>
            </c:ext>
          </c:extLst>
        </c:ser>
        <c:ser>
          <c:idx val="8"/>
          <c:order val="8"/>
          <c:tx>
            <c:strRef>
              <c:f>задание3!$A$10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36-4F35-B3F7-C7B2B062D863}"/>
            </c:ext>
          </c:extLst>
        </c:ser>
        <c:ser>
          <c:idx val="9"/>
          <c:order val="9"/>
          <c:tx>
            <c:strRef>
              <c:f>задание3!$A$11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36-4F35-B3F7-C7B2B062D863}"/>
            </c:ext>
          </c:extLst>
        </c:ser>
        <c:ser>
          <c:idx val="10"/>
          <c:order val="10"/>
          <c:tx>
            <c:strRef>
              <c:f>задание3!$A$12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задание3!$B$1:$L$1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задание3!$B$12:$L$12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36-4F35-B3F7-C7B2B062D863}"/>
            </c:ext>
          </c:extLst>
        </c:ser>
        <c:bandFmts>
          <c:bandFmt>
            <c:idx val="0"/>
            <c:spPr>
              <a:solidFill>
                <a:srgbClr val="002060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lumMod val="5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lumMod val="75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33702575"/>
        <c:axId val="1733688015"/>
        <c:axId val="1732391279"/>
      </c:surface3DChart>
      <c:catAx>
        <c:axId val="173370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40683891076115486"/>
              <c:y val="0.809363881598133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688015"/>
        <c:crosses val="autoZero"/>
        <c:auto val="1"/>
        <c:lblAlgn val="ctr"/>
        <c:lblOffset val="100"/>
        <c:noMultiLvlLbl val="0"/>
      </c:catAx>
      <c:valAx>
        <c:axId val="173368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z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14294564741907262"/>
              <c:y val="0.209531933508311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headEnd type="triangl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702575"/>
        <c:crosses val="autoZero"/>
        <c:crossBetween val="midCat"/>
      </c:valAx>
      <c:serAx>
        <c:axId val="173239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1416940069991248"/>
              <c:y val="0.3649157917760280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688015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Гипербологический параболоид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567147856517936E-2"/>
          <c:y val="0.15729184893554973"/>
          <c:w val="0.88480074365704287"/>
          <c:h val="0.69513815981335669"/>
        </c:manualLayout>
      </c:layout>
      <c:surface3DChart>
        <c:wireframe val="0"/>
        <c:ser>
          <c:idx val="0"/>
          <c:order val="0"/>
          <c:tx>
            <c:strRef>
              <c:f>Задание4!$A$5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Задание4!$B$5:$L$5</c:f>
              <c:numCache>
                <c:formatCode>General</c:formatCode>
                <c:ptCount val="11"/>
                <c:pt idx="0">
                  <c:v>-0.4145408163265305</c:v>
                </c:pt>
                <c:pt idx="1">
                  <c:v>-0.82780612244897955</c:v>
                </c:pt>
                <c:pt idx="2">
                  <c:v>-1.1492346938775511</c:v>
                </c:pt>
                <c:pt idx="3">
                  <c:v>-1.3788265306122449</c:v>
                </c:pt>
                <c:pt idx="4">
                  <c:v>-1.5165816326530612</c:v>
                </c:pt>
                <c:pt idx="5">
                  <c:v>-1.5625</c:v>
                </c:pt>
                <c:pt idx="6">
                  <c:v>-1.5165816326530612</c:v>
                </c:pt>
                <c:pt idx="7">
                  <c:v>-1.3788265306122449</c:v>
                </c:pt>
                <c:pt idx="8">
                  <c:v>-1.1492346938775511</c:v>
                </c:pt>
                <c:pt idx="9">
                  <c:v>-0.82780612244897955</c:v>
                </c:pt>
                <c:pt idx="10">
                  <c:v>-0.4145408163265305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E-4920-96F9-F2DB94C3718C}"/>
            </c:ext>
          </c:extLst>
        </c:ser>
        <c:ser>
          <c:idx val="1"/>
          <c:order val="1"/>
          <c:tx>
            <c:strRef>
              <c:f>Задание4!$A$6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Задание4!$B$6:$L$6</c:f>
              <c:numCache>
                <c:formatCode>General</c:formatCode>
                <c:ptCount val="11"/>
                <c:pt idx="0">
                  <c:v>0.1479591836734695</c:v>
                </c:pt>
                <c:pt idx="1">
                  <c:v>-0.26530612244897955</c:v>
                </c:pt>
                <c:pt idx="2">
                  <c:v>-0.58673469387755106</c:v>
                </c:pt>
                <c:pt idx="3">
                  <c:v>-0.81632653061224492</c:v>
                </c:pt>
                <c:pt idx="4">
                  <c:v>-0.95408163265306123</c:v>
                </c:pt>
                <c:pt idx="5">
                  <c:v>-1</c:v>
                </c:pt>
                <c:pt idx="6">
                  <c:v>-0.95408163265306123</c:v>
                </c:pt>
                <c:pt idx="7">
                  <c:v>-0.81632653061224492</c:v>
                </c:pt>
                <c:pt idx="8">
                  <c:v>-0.58673469387755106</c:v>
                </c:pt>
                <c:pt idx="9">
                  <c:v>-0.26530612244897955</c:v>
                </c:pt>
                <c:pt idx="10">
                  <c:v>0.1479591836734695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E-4920-96F9-F2DB94C3718C}"/>
            </c:ext>
          </c:extLst>
        </c:ser>
        <c:ser>
          <c:idx val="2"/>
          <c:order val="2"/>
          <c:tx>
            <c:strRef>
              <c:f>Задание4!$A$7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Задание4!$B$7:$L$7</c:f>
              <c:numCache>
                <c:formatCode>General</c:formatCode>
                <c:ptCount val="11"/>
                <c:pt idx="0">
                  <c:v>0.5854591836734695</c:v>
                </c:pt>
                <c:pt idx="1">
                  <c:v>0.17219387755102045</c:v>
                </c:pt>
                <c:pt idx="2">
                  <c:v>-0.14923469387755101</c:v>
                </c:pt>
                <c:pt idx="3">
                  <c:v>-0.37882653061224492</c:v>
                </c:pt>
                <c:pt idx="4">
                  <c:v>-0.51658163265306123</c:v>
                </c:pt>
                <c:pt idx="5">
                  <c:v>-0.5625</c:v>
                </c:pt>
                <c:pt idx="6">
                  <c:v>-0.51658163265306123</c:v>
                </c:pt>
                <c:pt idx="7">
                  <c:v>-0.37882653061224492</c:v>
                </c:pt>
                <c:pt idx="8">
                  <c:v>-0.14923469387755101</c:v>
                </c:pt>
                <c:pt idx="9">
                  <c:v>0.17219387755102045</c:v>
                </c:pt>
                <c:pt idx="10">
                  <c:v>0.5854591836734695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E-4920-96F9-F2DB94C3718C}"/>
            </c:ext>
          </c:extLst>
        </c:ser>
        <c:ser>
          <c:idx val="3"/>
          <c:order val="3"/>
          <c:tx>
            <c:strRef>
              <c:f>Задание4!$A$8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Задание4!$B$8:$L$8</c:f>
              <c:numCache>
                <c:formatCode>General</c:formatCode>
                <c:ptCount val="11"/>
                <c:pt idx="0">
                  <c:v>0.8979591836734695</c:v>
                </c:pt>
                <c:pt idx="1">
                  <c:v>0.48469387755102045</c:v>
                </c:pt>
                <c:pt idx="2">
                  <c:v>0.16326530612244899</c:v>
                </c:pt>
                <c:pt idx="3">
                  <c:v>-6.6326530612244888E-2</c:v>
                </c:pt>
                <c:pt idx="4">
                  <c:v>-0.20408163265306123</c:v>
                </c:pt>
                <c:pt idx="5">
                  <c:v>-0.25</c:v>
                </c:pt>
                <c:pt idx="6">
                  <c:v>-0.20408163265306123</c:v>
                </c:pt>
                <c:pt idx="7">
                  <c:v>-6.6326530612244888E-2</c:v>
                </c:pt>
                <c:pt idx="8">
                  <c:v>0.16326530612244899</c:v>
                </c:pt>
                <c:pt idx="9">
                  <c:v>0.48469387755102045</c:v>
                </c:pt>
                <c:pt idx="10">
                  <c:v>0.8979591836734695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E-4920-96F9-F2DB94C3718C}"/>
            </c:ext>
          </c:extLst>
        </c:ser>
        <c:ser>
          <c:idx val="4"/>
          <c:order val="4"/>
          <c:tx>
            <c:strRef>
              <c:f>Задание4!$A$9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Задание4!$B$9:$L$9</c:f>
              <c:numCache>
                <c:formatCode>General</c:formatCode>
                <c:ptCount val="11"/>
                <c:pt idx="0">
                  <c:v>1.0854591836734695</c:v>
                </c:pt>
                <c:pt idx="1">
                  <c:v>0.67219387755102045</c:v>
                </c:pt>
                <c:pt idx="2">
                  <c:v>0.35076530612244899</c:v>
                </c:pt>
                <c:pt idx="3">
                  <c:v>0.12117346938775511</c:v>
                </c:pt>
                <c:pt idx="4">
                  <c:v>-1.6581632653061222E-2</c:v>
                </c:pt>
                <c:pt idx="5">
                  <c:v>-6.25E-2</c:v>
                </c:pt>
                <c:pt idx="6">
                  <c:v>-1.6581632653061222E-2</c:v>
                </c:pt>
                <c:pt idx="7">
                  <c:v>0.12117346938775511</c:v>
                </c:pt>
                <c:pt idx="8">
                  <c:v>0.35076530612244899</c:v>
                </c:pt>
                <c:pt idx="9">
                  <c:v>0.67219387755102045</c:v>
                </c:pt>
                <c:pt idx="10">
                  <c:v>1.0854591836734695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E-4920-96F9-F2DB94C3718C}"/>
            </c:ext>
          </c:extLst>
        </c:ser>
        <c:ser>
          <c:idx val="5"/>
          <c:order val="5"/>
          <c:tx>
            <c:strRef>
              <c:f>Задание4!$A$10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Задание4!$B$10:$L$10</c:f>
              <c:numCache>
                <c:formatCode>General</c:formatCode>
                <c:ptCount val="11"/>
                <c:pt idx="0">
                  <c:v>1.1479591836734695</c:v>
                </c:pt>
                <c:pt idx="1">
                  <c:v>0.73469387755102045</c:v>
                </c:pt>
                <c:pt idx="2">
                  <c:v>0.41326530612244899</c:v>
                </c:pt>
                <c:pt idx="3">
                  <c:v>0.18367346938775511</c:v>
                </c:pt>
                <c:pt idx="4">
                  <c:v>4.5918367346938778E-2</c:v>
                </c:pt>
                <c:pt idx="5">
                  <c:v>0</c:v>
                </c:pt>
                <c:pt idx="6">
                  <c:v>4.5918367346938778E-2</c:v>
                </c:pt>
                <c:pt idx="7">
                  <c:v>0.18367346938775511</c:v>
                </c:pt>
                <c:pt idx="8">
                  <c:v>0.41326530612244899</c:v>
                </c:pt>
                <c:pt idx="9">
                  <c:v>0.73469387755102045</c:v>
                </c:pt>
                <c:pt idx="10">
                  <c:v>1.1479591836734695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E-4920-96F9-F2DB94C3718C}"/>
            </c:ext>
          </c:extLst>
        </c:ser>
        <c:ser>
          <c:idx val="6"/>
          <c:order val="6"/>
          <c:tx>
            <c:strRef>
              <c:f>Задание4!$A$11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Задание4!$B$11:$L$11</c:f>
              <c:numCache>
                <c:formatCode>General</c:formatCode>
                <c:ptCount val="11"/>
                <c:pt idx="0">
                  <c:v>1.0854591836734695</c:v>
                </c:pt>
                <c:pt idx="1">
                  <c:v>0.67219387755102045</c:v>
                </c:pt>
                <c:pt idx="2">
                  <c:v>0.35076530612244899</c:v>
                </c:pt>
                <c:pt idx="3">
                  <c:v>0.12117346938775511</c:v>
                </c:pt>
                <c:pt idx="4">
                  <c:v>-1.6581632653061222E-2</c:v>
                </c:pt>
                <c:pt idx="5">
                  <c:v>-6.25E-2</c:v>
                </c:pt>
                <c:pt idx="6">
                  <c:v>-1.6581632653061222E-2</c:v>
                </c:pt>
                <c:pt idx="7">
                  <c:v>0.12117346938775511</c:v>
                </c:pt>
                <c:pt idx="8">
                  <c:v>0.35076530612244899</c:v>
                </c:pt>
                <c:pt idx="9">
                  <c:v>0.67219387755102045</c:v>
                </c:pt>
                <c:pt idx="10">
                  <c:v>1.0854591836734695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E-4920-96F9-F2DB94C3718C}"/>
            </c:ext>
          </c:extLst>
        </c:ser>
        <c:ser>
          <c:idx val="7"/>
          <c:order val="7"/>
          <c:tx>
            <c:strRef>
              <c:f>Задание4!$A$12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Задание4!$B$12:$L$12</c:f>
              <c:numCache>
                <c:formatCode>General</c:formatCode>
                <c:ptCount val="11"/>
                <c:pt idx="0">
                  <c:v>0.8979591836734695</c:v>
                </c:pt>
                <c:pt idx="1">
                  <c:v>0.48469387755102045</c:v>
                </c:pt>
                <c:pt idx="2">
                  <c:v>0.16326530612244899</c:v>
                </c:pt>
                <c:pt idx="3">
                  <c:v>-6.6326530612244888E-2</c:v>
                </c:pt>
                <c:pt idx="4">
                  <c:v>-0.20408163265306123</c:v>
                </c:pt>
                <c:pt idx="5">
                  <c:v>-0.25</c:v>
                </c:pt>
                <c:pt idx="6">
                  <c:v>-0.20408163265306123</c:v>
                </c:pt>
                <c:pt idx="7">
                  <c:v>-6.6326530612244888E-2</c:v>
                </c:pt>
                <c:pt idx="8">
                  <c:v>0.16326530612244899</c:v>
                </c:pt>
                <c:pt idx="9">
                  <c:v>0.48469387755102045</c:v>
                </c:pt>
                <c:pt idx="10">
                  <c:v>0.8979591836734695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E-4920-96F9-F2DB94C3718C}"/>
            </c:ext>
          </c:extLst>
        </c:ser>
        <c:ser>
          <c:idx val="8"/>
          <c:order val="8"/>
          <c:tx>
            <c:strRef>
              <c:f>Задание4!$A$13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Задание4!$B$13:$L$13</c:f>
              <c:numCache>
                <c:formatCode>General</c:formatCode>
                <c:ptCount val="11"/>
                <c:pt idx="0">
                  <c:v>0.5854591836734695</c:v>
                </c:pt>
                <c:pt idx="1">
                  <c:v>0.17219387755102045</c:v>
                </c:pt>
                <c:pt idx="2">
                  <c:v>-0.14923469387755101</c:v>
                </c:pt>
                <c:pt idx="3">
                  <c:v>-0.37882653061224492</c:v>
                </c:pt>
                <c:pt idx="4">
                  <c:v>-0.51658163265306123</c:v>
                </c:pt>
                <c:pt idx="5">
                  <c:v>-0.5625</c:v>
                </c:pt>
                <c:pt idx="6">
                  <c:v>-0.51658163265306123</c:v>
                </c:pt>
                <c:pt idx="7">
                  <c:v>-0.37882653061224492</c:v>
                </c:pt>
                <c:pt idx="8">
                  <c:v>-0.14923469387755101</c:v>
                </c:pt>
                <c:pt idx="9">
                  <c:v>0.17219387755102045</c:v>
                </c:pt>
                <c:pt idx="10">
                  <c:v>0.5854591836734695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E-4920-96F9-F2DB94C3718C}"/>
            </c:ext>
          </c:extLst>
        </c:ser>
        <c:ser>
          <c:idx val="9"/>
          <c:order val="9"/>
          <c:tx>
            <c:strRef>
              <c:f>Задание4!$A$14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Задание4!$B$14:$L$14</c:f>
              <c:numCache>
                <c:formatCode>General</c:formatCode>
                <c:ptCount val="11"/>
                <c:pt idx="0">
                  <c:v>0.1479591836734695</c:v>
                </c:pt>
                <c:pt idx="1">
                  <c:v>-0.26530612244897955</c:v>
                </c:pt>
                <c:pt idx="2">
                  <c:v>-0.58673469387755106</c:v>
                </c:pt>
                <c:pt idx="3">
                  <c:v>-0.81632653061224492</c:v>
                </c:pt>
                <c:pt idx="4">
                  <c:v>-0.95408163265306123</c:v>
                </c:pt>
                <c:pt idx="5">
                  <c:v>-1</c:v>
                </c:pt>
                <c:pt idx="6">
                  <c:v>-0.95408163265306123</c:v>
                </c:pt>
                <c:pt idx="7">
                  <c:v>-0.81632653061224492</c:v>
                </c:pt>
                <c:pt idx="8">
                  <c:v>-0.58673469387755106</c:v>
                </c:pt>
                <c:pt idx="9">
                  <c:v>-0.26530612244897955</c:v>
                </c:pt>
                <c:pt idx="10">
                  <c:v>0.1479591836734695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E-4920-96F9-F2DB94C3718C}"/>
            </c:ext>
          </c:extLst>
        </c:ser>
        <c:ser>
          <c:idx val="10"/>
          <c:order val="10"/>
          <c:tx>
            <c:strRef>
              <c:f>Задание4!$A$15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Задание4!$B$4:$L$4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Задание4!$B$15:$L$15</c:f>
              <c:numCache>
                <c:formatCode>General</c:formatCode>
                <c:ptCount val="11"/>
                <c:pt idx="0">
                  <c:v>-0.4145408163265305</c:v>
                </c:pt>
                <c:pt idx="1">
                  <c:v>-0.82780612244897955</c:v>
                </c:pt>
                <c:pt idx="2">
                  <c:v>-1.1492346938775511</c:v>
                </c:pt>
                <c:pt idx="3">
                  <c:v>-1.3788265306122449</c:v>
                </c:pt>
                <c:pt idx="4">
                  <c:v>-1.5165816326530612</c:v>
                </c:pt>
                <c:pt idx="5">
                  <c:v>-1.5625</c:v>
                </c:pt>
                <c:pt idx="6">
                  <c:v>-1.5165816326530612</c:v>
                </c:pt>
                <c:pt idx="7">
                  <c:v>-1.3788265306122449</c:v>
                </c:pt>
                <c:pt idx="8">
                  <c:v>-1.1492346938775511</c:v>
                </c:pt>
                <c:pt idx="9">
                  <c:v>-0.82780612244897955</c:v>
                </c:pt>
                <c:pt idx="10">
                  <c:v>-0.4145408163265305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0E-4920-96F9-F2DB94C3718C}"/>
            </c:ext>
          </c:extLst>
        </c:ser>
        <c:bandFmts>
          <c:bandFmt>
            <c:idx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tx1">
                    <a:alpha val="98000"/>
                  </a:schemeClr>
                </a:solidFill>
              </a:ln>
              <a:effectLst/>
              <a:sp3d>
                <a:contourClr>
                  <a:schemeClr val="tx1">
                    <a:alpha val="98000"/>
                  </a:schemeClr>
                </a:contourClr>
              </a:sp3d>
            </c:spPr>
          </c:bandFmt>
          <c:bandFmt>
            <c:idx val="1"/>
            <c:spPr>
              <a:solidFill>
                <a:schemeClr val="accent5">
                  <a:lumMod val="75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lumMod val="75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5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40000"/>
                  <a:lumOff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74993967"/>
        <c:axId val="675003119"/>
        <c:axId val="679056751"/>
      </c:surface3DChart>
      <c:catAx>
        <c:axId val="67499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41858790663197382"/>
              <c:y val="0.80073961489685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003119"/>
        <c:crosses val="autoZero"/>
        <c:auto val="1"/>
        <c:lblAlgn val="ctr"/>
        <c:lblOffset val="100"/>
        <c:noMultiLvlLbl val="0"/>
      </c:catAx>
      <c:valAx>
        <c:axId val="6750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z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14103696295842347"/>
              <c:y val="0.19953674320908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4993967"/>
        <c:crosses val="autoZero"/>
        <c:crossBetween val="midCat"/>
      </c:valAx>
      <c:serAx>
        <c:axId val="67905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8933118215984428"/>
              <c:y val="0.2929005513361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00311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0</xdr:rowOff>
    </xdr:from>
    <xdr:to>
      <xdr:col>12</xdr:col>
      <xdr:colOff>38100</xdr:colOff>
      <xdr:row>18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0F3799-3B7E-F283-08CD-3F42C4070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2</xdr:row>
      <xdr:rowOff>42862</xdr:rowOff>
    </xdr:from>
    <xdr:to>
      <xdr:col>12</xdr:col>
      <xdr:colOff>371475</xdr:colOff>
      <xdr:row>14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9D78A1A-0ABA-D035-5AC9-CD5DF5A0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</xdr:colOff>
      <xdr:row>17</xdr:row>
      <xdr:rowOff>14287</xdr:rowOff>
    </xdr:from>
    <xdr:to>
      <xdr:col>13</xdr:col>
      <xdr:colOff>42862</xdr:colOff>
      <xdr:row>31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2721B86-1E9C-C46E-031F-F8563108D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</xdr:colOff>
      <xdr:row>34</xdr:row>
      <xdr:rowOff>71437</xdr:rowOff>
    </xdr:from>
    <xdr:to>
      <xdr:col>13</xdr:col>
      <xdr:colOff>4762</xdr:colOff>
      <xdr:row>48</xdr:row>
      <xdr:rowOff>147637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DF05008-0D0E-3224-9F80-AD683BF9D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</xdr:colOff>
      <xdr:row>51</xdr:row>
      <xdr:rowOff>52387</xdr:rowOff>
    </xdr:from>
    <xdr:to>
      <xdr:col>12</xdr:col>
      <xdr:colOff>333375</xdr:colOff>
      <xdr:row>65</xdr:row>
      <xdr:rowOff>161925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6D11DBA-B9D7-6B96-EB40-463530E6C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23811</xdr:colOff>
      <xdr:row>68</xdr:row>
      <xdr:rowOff>33336</xdr:rowOff>
    </xdr:from>
    <xdr:to>
      <xdr:col>13</xdr:col>
      <xdr:colOff>9524</xdr:colOff>
      <xdr:row>82</xdr:row>
      <xdr:rowOff>190499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FCAEB26-73C4-9CD7-A698-F226B2A4B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42862</xdr:colOff>
      <xdr:row>85</xdr:row>
      <xdr:rowOff>33337</xdr:rowOff>
    </xdr:from>
    <xdr:to>
      <xdr:col>12</xdr:col>
      <xdr:colOff>361950</xdr:colOff>
      <xdr:row>97</xdr:row>
      <xdr:rowOff>133350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F1B0F95-6C5C-1120-3CD9-65FD65239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23812</xdr:rowOff>
    </xdr:from>
    <xdr:to>
      <xdr:col>7</xdr:col>
      <xdr:colOff>9525</xdr:colOff>
      <xdr:row>25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1E8C4B-8E4F-4992-4659-032E46D8E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15</xdr:row>
      <xdr:rowOff>52387</xdr:rowOff>
    </xdr:from>
    <xdr:to>
      <xdr:col>7</xdr:col>
      <xdr:colOff>476249</xdr:colOff>
      <xdr:row>29</xdr:row>
      <xdr:rowOff>76201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2668219-7C41-6119-D881-48FBC4C2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zoomScaleNormal="100" workbookViewId="0">
      <selection activeCell="A3" sqref="A3"/>
    </sheetView>
  </sheetViews>
  <sheetFormatPr defaultColWidth="4.7109375" defaultRowHeight="15.75" x14ac:dyDescent="0.25"/>
  <cols>
    <col min="1" max="1" width="9.5703125" style="3" customWidth="1"/>
    <col min="2" max="16384" width="4.7109375" style="3"/>
  </cols>
  <sheetData>
    <row r="1" spans="1:13" x14ac:dyDescent="0.25">
      <c r="A1" s="4" t="s">
        <v>0</v>
      </c>
      <c r="B1" s="4">
        <f>2</f>
        <v>2</v>
      </c>
    </row>
    <row r="2" spans="1:13" x14ac:dyDescent="0.25">
      <c r="A2" s="4" t="s">
        <v>1</v>
      </c>
      <c r="B2" s="4">
        <f>3</f>
        <v>3</v>
      </c>
    </row>
    <row r="4" spans="1:13" x14ac:dyDescent="0.25">
      <c r="A4" s="2" t="s">
        <v>2</v>
      </c>
      <c r="B4" s="2">
        <v>-3</v>
      </c>
      <c r="C4" s="2">
        <v>-2</v>
      </c>
      <c r="D4" s="2">
        <v>-1</v>
      </c>
      <c r="E4" s="2">
        <v>0</v>
      </c>
      <c r="F4" s="2">
        <v>1</v>
      </c>
      <c r="G4" s="2">
        <v>2</v>
      </c>
      <c r="H4" s="2">
        <v>3</v>
      </c>
      <c r="I4" s="5"/>
      <c r="J4" s="5"/>
      <c r="K4" s="5"/>
      <c r="L4" s="5"/>
      <c r="M4" s="5"/>
    </row>
    <row r="5" spans="1:13" x14ac:dyDescent="0.25">
      <c r="A5" s="2" t="s">
        <v>3</v>
      </c>
      <c r="B5" s="2">
        <f>$B$1*B4+$B$2</f>
        <v>-3</v>
      </c>
      <c r="C5" s="2">
        <f t="shared" ref="C5:H5" si="0">$B$1*C4+$B$2</f>
        <v>-1</v>
      </c>
      <c r="D5" s="2">
        <f t="shared" si="0"/>
        <v>1</v>
      </c>
      <c r="E5" s="2">
        <f t="shared" si="0"/>
        <v>3</v>
      </c>
      <c r="F5" s="2">
        <f t="shared" si="0"/>
        <v>5</v>
      </c>
      <c r="G5" s="2">
        <f>$B$1*G4+$B$2</f>
        <v>7</v>
      </c>
      <c r="H5" s="2">
        <f t="shared" si="0"/>
        <v>9</v>
      </c>
      <c r="J5" s="5"/>
      <c r="K5" s="5"/>
      <c r="L5" s="5"/>
      <c r="M5" s="5"/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 
группа2.2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EBFB-C25C-4B79-9829-29553D40495D}">
  <dimension ref="A1:P85"/>
  <sheetViews>
    <sheetView zoomScaleNormal="100" workbookViewId="0">
      <selection activeCell="A3" sqref="A3"/>
    </sheetView>
  </sheetViews>
  <sheetFormatPr defaultColWidth="9.28515625" defaultRowHeight="15.75" x14ac:dyDescent="0.25"/>
  <cols>
    <col min="1" max="16384" width="9.28515625" style="3"/>
  </cols>
  <sheetData>
    <row r="1" spans="1:15" x14ac:dyDescent="0.25">
      <c r="A1" s="2" t="s">
        <v>2</v>
      </c>
      <c r="B1" s="2">
        <v>-5</v>
      </c>
      <c r="C1" s="2">
        <v>-4</v>
      </c>
      <c r="D1" s="2">
        <v>-3</v>
      </c>
      <c r="E1" s="2">
        <v>-2</v>
      </c>
      <c r="F1" s="2">
        <v>-1</v>
      </c>
      <c r="G1" s="2">
        <v>0</v>
      </c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</row>
    <row r="2" spans="1:15" x14ac:dyDescent="0.25">
      <c r="A2" s="2" t="s">
        <v>4</v>
      </c>
      <c r="B2" s="2">
        <f t="shared" ref="B2:C2" si="0">2^B1 + 3</f>
        <v>3.03125</v>
      </c>
      <c r="C2" s="2">
        <f t="shared" si="0"/>
        <v>3.0625</v>
      </c>
      <c r="D2" s="2">
        <f>2^D1 + 3</f>
        <v>3.125</v>
      </c>
      <c r="E2" s="2">
        <f t="shared" ref="E2" si="1">2^E1 + 3</f>
        <v>3.25</v>
      </c>
      <c r="F2" s="2">
        <f t="shared" ref="F2" si="2">2^F1 + 3</f>
        <v>3.5</v>
      </c>
      <c r="G2" s="2">
        <f t="shared" ref="G2" si="3">2^G1 + 3</f>
        <v>4</v>
      </c>
      <c r="H2" s="2">
        <f t="shared" ref="H2" si="4">2^H1 + 3</f>
        <v>5</v>
      </c>
      <c r="I2" s="2">
        <f t="shared" ref="I2" si="5">2^I1 + 3</f>
        <v>7</v>
      </c>
      <c r="J2" s="2">
        <f t="shared" ref="J2" si="6">2^J1 + 3</f>
        <v>11</v>
      </c>
      <c r="K2" s="2">
        <f t="shared" ref="K2" si="7">2^K1 + 3</f>
        <v>19</v>
      </c>
      <c r="L2" s="2">
        <f t="shared" ref="L2" si="8">2^L1 + 3</f>
        <v>35</v>
      </c>
      <c r="M2" s="2">
        <f t="shared" ref="M2" si="9">2^M1 + 3</f>
        <v>67</v>
      </c>
      <c r="N2" s="2">
        <f t="shared" ref="N2" si="10">2^N1 + 3</f>
        <v>131</v>
      </c>
      <c r="O2" s="2">
        <f t="shared" ref="O2" si="11">2^O1 + 3</f>
        <v>259</v>
      </c>
    </row>
    <row r="16" spans="1:15" x14ac:dyDescent="0.25">
      <c r="A16" s="2" t="s">
        <v>2</v>
      </c>
      <c r="B16" s="2">
        <v>0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</row>
    <row r="17" spans="1:12" x14ac:dyDescent="0.25">
      <c r="A17" s="2" t="s">
        <v>5</v>
      </c>
      <c r="B17" s="2">
        <f>SQRT(B16)</f>
        <v>0</v>
      </c>
      <c r="C17" s="2">
        <f t="shared" ref="C17:J17" si="12">SQRT(C16)</f>
        <v>1</v>
      </c>
      <c r="D17" s="2">
        <f t="shared" si="12"/>
        <v>1.4142135623730951</v>
      </c>
      <c r="E17" s="2">
        <f t="shared" si="12"/>
        <v>1.7320508075688772</v>
      </c>
      <c r="F17" s="2">
        <f t="shared" si="12"/>
        <v>2</v>
      </c>
      <c r="G17" s="2">
        <f t="shared" si="12"/>
        <v>2.2360679774997898</v>
      </c>
      <c r="H17" s="2">
        <f t="shared" si="12"/>
        <v>2.4494897427831779</v>
      </c>
      <c r="I17" s="2">
        <f t="shared" si="12"/>
        <v>2.6457513110645907</v>
      </c>
      <c r="J17" s="2">
        <f t="shared" si="12"/>
        <v>2.8284271247461903</v>
      </c>
      <c r="K17" s="2">
        <f t="shared" ref="K17" si="13">SQRT(K16)</f>
        <v>3</v>
      </c>
      <c r="L17" s="2">
        <f t="shared" ref="L17" si="14">SQRT(L16)</f>
        <v>3.1622776601683795</v>
      </c>
    </row>
    <row r="33" spans="1:12" x14ac:dyDescent="0.25">
      <c r="A33" s="2" t="s">
        <v>2</v>
      </c>
      <c r="B33" s="2">
        <v>-10</v>
      </c>
      <c r="C33" s="2">
        <v>-7</v>
      </c>
      <c r="D33" s="2">
        <v>-3</v>
      </c>
      <c r="E33" s="2">
        <v>-2</v>
      </c>
      <c r="F33" s="2">
        <v>-1</v>
      </c>
      <c r="G33" s="2">
        <v>0</v>
      </c>
      <c r="H33" s="2">
        <v>1</v>
      </c>
      <c r="I33" s="2">
        <v>2</v>
      </c>
      <c r="J33" s="2">
        <v>3</v>
      </c>
      <c r="K33" s="2">
        <v>5</v>
      </c>
      <c r="L33" s="2">
        <v>10</v>
      </c>
    </row>
    <row r="34" spans="1:12" x14ac:dyDescent="0.25">
      <c r="A34" s="2" t="s">
        <v>6</v>
      </c>
      <c r="B34" s="2">
        <f>7 - ABS(B33)</f>
        <v>-3</v>
      </c>
      <c r="C34" s="2">
        <f t="shared" ref="C34:L34" si="15">7 - ABS(C33)</f>
        <v>0</v>
      </c>
      <c r="D34" s="2">
        <f t="shared" si="15"/>
        <v>4</v>
      </c>
      <c r="E34" s="2">
        <f t="shared" si="15"/>
        <v>5</v>
      </c>
      <c r="F34" s="2">
        <f t="shared" si="15"/>
        <v>6</v>
      </c>
      <c r="G34" s="2">
        <f t="shared" si="15"/>
        <v>7</v>
      </c>
      <c r="H34" s="2">
        <f t="shared" si="15"/>
        <v>6</v>
      </c>
      <c r="I34" s="2">
        <f t="shared" si="15"/>
        <v>5</v>
      </c>
      <c r="J34" s="2">
        <f t="shared" si="15"/>
        <v>4</v>
      </c>
      <c r="K34" s="2">
        <f t="shared" si="15"/>
        <v>2</v>
      </c>
      <c r="L34" s="2">
        <f t="shared" si="15"/>
        <v>-3</v>
      </c>
    </row>
    <row r="50" spans="1:16" x14ac:dyDescent="0.25">
      <c r="A50" s="2" t="s">
        <v>2</v>
      </c>
      <c r="B50" s="2">
        <v>-4</v>
      </c>
      <c r="C50" s="2">
        <v>-3.5</v>
      </c>
      <c r="D50" s="2">
        <v>-2</v>
      </c>
      <c r="E50" s="2">
        <v>-1.25</v>
      </c>
      <c r="F50" s="2">
        <v>-1</v>
      </c>
      <c r="G50" s="2">
        <v>-0.5</v>
      </c>
      <c r="H50" s="2">
        <v>-0.25</v>
      </c>
      <c r="I50" s="2"/>
      <c r="J50" s="2">
        <v>0.25</v>
      </c>
      <c r="K50" s="2">
        <v>0.5</v>
      </c>
      <c r="L50" s="2">
        <v>1</v>
      </c>
      <c r="M50" s="2">
        <v>1.25</v>
      </c>
      <c r="N50" s="2">
        <v>2</v>
      </c>
      <c r="O50" s="2">
        <v>3.5</v>
      </c>
      <c r="P50" s="2">
        <v>4</v>
      </c>
    </row>
    <row r="51" spans="1:16" x14ac:dyDescent="0.25">
      <c r="A51" s="2" t="s">
        <v>7</v>
      </c>
      <c r="B51" s="2">
        <f>1/B50</f>
        <v>-0.25</v>
      </c>
      <c r="C51" s="2">
        <f t="shared" ref="C51:P51" si="16">1/C50</f>
        <v>-0.2857142857142857</v>
      </c>
      <c r="D51" s="2">
        <f t="shared" si="16"/>
        <v>-0.5</v>
      </c>
      <c r="E51" s="2">
        <f t="shared" si="16"/>
        <v>-0.8</v>
      </c>
      <c r="F51" s="2">
        <f t="shared" si="16"/>
        <v>-1</v>
      </c>
      <c r="G51" s="2">
        <f t="shared" si="16"/>
        <v>-2</v>
      </c>
      <c r="H51" s="2">
        <f t="shared" si="16"/>
        <v>-4</v>
      </c>
      <c r="I51" s="2"/>
      <c r="J51" s="2">
        <f t="shared" si="16"/>
        <v>4</v>
      </c>
      <c r="K51" s="2">
        <f t="shared" si="16"/>
        <v>2</v>
      </c>
      <c r="L51" s="2">
        <f t="shared" si="16"/>
        <v>1</v>
      </c>
      <c r="M51" s="2">
        <f t="shared" si="16"/>
        <v>0.8</v>
      </c>
      <c r="N51" s="2">
        <f t="shared" si="16"/>
        <v>0.5</v>
      </c>
      <c r="O51" s="2">
        <f t="shared" si="16"/>
        <v>0.2857142857142857</v>
      </c>
      <c r="P51" s="2">
        <f t="shared" si="16"/>
        <v>0.25</v>
      </c>
    </row>
    <row r="67" spans="1:10" x14ac:dyDescent="0.25">
      <c r="A67" s="2" t="s">
        <v>2</v>
      </c>
      <c r="B67" s="2">
        <v>0.25</v>
      </c>
      <c r="C67" s="2">
        <v>0.5</v>
      </c>
      <c r="D67" s="2">
        <v>1</v>
      </c>
      <c r="E67" s="2">
        <v>1.5</v>
      </c>
      <c r="F67" s="2">
        <v>3</v>
      </c>
      <c r="G67" s="2">
        <v>4.5</v>
      </c>
      <c r="H67" s="2">
        <v>5</v>
      </c>
      <c r="I67" s="2">
        <v>6</v>
      </c>
      <c r="J67" s="2">
        <v>10</v>
      </c>
    </row>
    <row r="68" spans="1:10" x14ac:dyDescent="0.25">
      <c r="A68" s="2" t="s">
        <v>8</v>
      </c>
      <c r="B68" s="2">
        <f>LN(B67)</f>
        <v>-1.3862943611198906</v>
      </c>
      <c r="C68" s="2">
        <f t="shared" ref="C68:H68" si="17">LN(C67)</f>
        <v>-0.69314718055994529</v>
      </c>
      <c r="D68" s="2">
        <f t="shared" si="17"/>
        <v>0</v>
      </c>
      <c r="E68" s="2">
        <f t="shared" si="17"/>
        <v>0.40546510810816438</v>
      </c>
      <c r="F68" s="2">
        <f t="shared" si="17"/>
        <v>1.0986122886681098</v>
      </c>
      <c r="G68" s="2">
        <f t="shared" si="17"/>
        <v>1.5040773967762742</v>
      </c>
      <c r="H68" s="2">
        <f t="shared" si="17"/>
        <v>1.6094379124341003</v>
      </c>
      <c r="I68" s="2">
        <f t="shared" ref="I68" si="18">LN(I67)</f>
        <v>1.791759469228055</v>
      </c>
      <c r="J68" s="2">
        <f t="shared" ref="J68" si="19">LN(J67)</f>
        <v>2.3025850929940459</v>
      </c>
    </row>
    <row r="84" spans="1:8" x14ac:dyDescent="0.25">
      <c r="A84" s="2" t="s">
        <v>2</v>
      </c>
      <c r="B84" s="2">
        <v>-3</v>
      </c>
      <c r="C84" s="2">
        <v>-2</v>
      </c>
      <c r="D84" s="2">
        <v>-1</v>
      </c>
      <c r="E84" s="2">
        <v>0</v>
      </c>
      <c r="F84" s="2">
        <v>1</v>
      </c>
      <c r="G84" s="2">
        <v>2</v>
      </c>
      <c r="H84" s="2">
        <v>3</v>
      </c>
    </row>
    <row r="85" spans="1:8" x14ac:dyDescent="0.25">
      <c r="A85" s="2" t="s">
        <v>9</v>
      </c>
      <c r="B85" s="2">
        <f>LN(5)</f>
        <v>1.6094379124341003</v>
      </c>
      <c r="C85" s="2">
        <f t="shared" ref="C85:H85" si="20">LN(5)</f>
        <v>1.6094379124341003</v>
      </c>
      <c r="D85" s="2">
        <f t="shared" si="20"/>
        <v>1.6094379124341003</v>
      </c>
      <c r="E85" s="2">
        <f t="shared" si="20"/>
        <v>1.6094379124341003</v>
      </c>
      <c r="F85" s="2">
        <f t="shared" si="20"/>
        <v>1.6094379124341003</v>
      </c>
      <c r="G85" s="2">
        <f t="shared" si="20"/>
        <v>1.6094379124341003</v>
      </c>
      <c r="H85" s="2">
        <f t="shared" si="20"/>
        <v>1.6094379124341003</v>
      </c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 
группа2.2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7F5F-185F-45B5-962D-F089A0E9127A}">
  <dimension ref="A1:L12"/>
  <sheetViews>
    <sheetView zoomScaleNormal="100" workbookViewId="0"/>
  </sheetViews>
  <sheetFormatPr defaultRowHeight="15.75" x14ac:dyDescent="0.25"/>
  <cols>
    <col min="1" max="1" width="9.7109375" style="3" customWidth="1"/>
    <col min="2" max="16384" width="9.140625" style="3"/>
  </cols>
  <sheetData>
    <row r="1" spans="1:12" x14ac:dyDescent="0.25">
      <c r="B1" s="1">
        <v>-7.5</v>
      </c>
      <c r="C1" s="1">
        <v>-6</v>
      </c>
      <c r="D1" s="1">
        <v>-4.5</v>
      </c>
      <c r="E1" s="1">
        <v>-3</v>
      </c>
      <c r="F1" s="1">
        <v>-1.5</v>
      </c>
      <c r="G1" s="1">
        <v>0</v>
      </c>
      <c r="H1" s="1">
        <v>1.5</v>
      </c>
      <c r="I1" s="1">
        <v>3</v>
      </c>
      <c r="J1" s="1">
        <v>4.5</v>
      </c>
      <c r="K1" s="1">
        <v>6</v>
      </c>
      <c r="L1" s="1">
        <v>7.5</v>
      </c>
    </row>
    <row r="2" spans="1:12" x14ac:dyDescent="0.25">
      <c r="A2" s="1">
        <v>-5</v>
      </c>
      <c r="B2" s="3">
        <f>(B$1)^2 - ($A2)^2</f>
        <v>31.25</v>
      </c>
      <c r="C2" s="3">
        <f t="shared" ref="C2:L12" si="0">(C$1)^2 - ($A2)^2</f>
        <v>11</v>
      </c>
      <c r="D2" s="3">
        <f t="shared" si="0"/>
        <v>-4.75</v>
      </c>
      <c r="E2" s="3">
        <f t="shared" si="0"/>
        <v>-16</v>
      </c>
      <c r="F2" s="3">
        <f t="shared" si="0"/>
        <v>-22.75</v>
      </c>
      <c r="G2" s="3">
        <f t="shared" si="0"/>
        <v>-25</v>
      </c>
      <c r="H2" s="3">
        <f t="shared" si="0"/>
        <v>-22.75</v>
      </c>
      <c r="I2" s="3">
        <f t="shared" si="0"/>
        <v>-16</v>
      </c>
      <c r="J2" s="3">
        <f t="shared" si="0"/>
        <v>-4.75</v>
      </c>
      <c r="K2" s="3">
        <f t="shared" si="0"/>
        <v>11</v>
      </c>
      <c r="L2" s="3">
        <f t="shared" si="0"/>
        <v>31.25</v>
      </c>
    </row>
    <row r="3" spans="1:12" x14ac:dyDescent="0.25">
      <c r="A3" s="1">
        <v>-4</v>
      </c>
      <c r="B3" s="3">
        <f t="shared" ref="B3:B12" si="1">(B$1)^2 - ($A3)^2</f>
        <v>40.25</v>
      </c>
      <c r="C3" s="3">
        <f t="shared" si="0"/>
        <v>20</v>
      </c>
      <c r="D3" s="3">
        <f t="shared" si="0"/>
        <v>4.25</v>
      </c>
      <c r="E3" s="3">
        <f t="shared" si="0"/>
        <v>-7</v>
      </c>
      <c r="F3" s="3">
        <f t="shared" si="0"/>
        <v>-13.75</v>
      </c>
      <c r="G3" s="3">
        <f t="shared" si="0"/>
        <v>-16</v>
      </c>
      <c r="H3" s="3">
        <f t="shared" si="0"/>
        <v>-13.75</v>
      </c>
      <c r="I3" s="3">
        <f t="shared" si="0"/>
        <v>-7</v>
      </c>
      <c r="J3" s="3">
        <f t="shared" si="0"/>
        <v>4.25</v>
      </c>
      <c r="K3" s="3">
        <f t="shared" si="0"/>
        <v>20</v>
      </c>
      <c r="L3" s="3">
        <f t="shared" si="0"/>
        <v>40.25</v>
      </c>
    </row>
    <row r="4" spans="1:12" x14ac:dyDescent="0.25">
      <c r="A4" s="1">
        <v>-3</v>
      </c>
      <c r="B4" s="3">
        <f t="shared" si="1"/>
        <v>47.25</v>
      </c>
      <c r="C4" s="3">
        <f t="shared" si="0"/>
        <v>27</v>
      </c>
      <c r="D4" s="3">
        <f t="shared" si="0"/>
        <v>11.25</v>
      </c>
      <c r="E4" s="3">
        <f t="shared" si="0"/>
        <v>0</v>
      </c>
      <c r="F4" s="3">
        <f t="shared" si="0"/>
        <v>-6.75</v>
      </c>
      <c r="G4" s="3">
        <f t="shared" si="0"/>
        <v>-9</v>
      </c>
      <c r="H4" s="3">
        <f t="shared" si="0"/>
        <v>-6.75</v>
      </c>
      <c r="I4" s="3">
        <f t="shared" si="0"/>
        <v>0</v>
      </c>
      <c r="J4" s="3">
        <f t="shared" si="0"/>
        <v>11.25</v>
      </c>
      <c r="K4" s="3">
        <f t="shared" si="0"/>
        <v>27</v>
      </c>
      <c r="L4" s="3">
        <f t="shared" si="0"/>
        <v>47.25</v>
      </c>
    </row>
    <row r="5" spans="1:12" x14ac:dyDescent="0.25">
      <c r="A5" s="1">
        <v>-2</v>
      </c>
      <c r="B5" s="3">
        <f t="shared" si="1"/>
        <v>52.25</v>
      </c>
      <c r="C5" s="3">
        <f t="shared" si="0"/>
        <v>32</v>
      </c>
      <c r="D5" s="3">
        <f t="shared" si="0"/>
        <v>16.25</v>
      </c>
      <c r="E5" s="3">
        <f t="shared" si="0"/>
        <v>5</v>
      </c>
      <c r="F5" s="3">
        <f t="shared" si="0"/>
        <v>-1.75</v>
      </c>
      <c r="G5" s="3">
        <f t="shared" si="0"/>
        <v>-4</v>
      </c>
      <c r="H5" s="3">
        <f t="shared" si="0"/>
        <v>-1.75</v>
      </c>
      <c r="I5" s="3">
        <f t="shared" si="0"/>
        <v>5</v>
      </c>
      <c r="J5" s="3">
        <f t="shared" si="0"/>
        <v>16.25</v>
      </c>
      <c r="K5" s="3">
        <f t="shared" si="0"/>
        <v>32</v>
      </c>
      <c r="L5" s="3">
        <f t="shared" si="0"/>
        <v>52.25</v>
      </c>
    </row>
    <row r="6" spans="1:12" x14ac:dyDescent="0.25">
      <c r="A6" s="1">
        <v>-1</v>
      </c>
      <c r="B6" s="3">
        <f t="shared" si="1"/>
        <v>55.25</v>
      </c>
      <c r="C6" s="3">
        <f t="shared" si="0"/>
        <v>35</v>
      </c>
      <c r="D6" s="3">
        <f t="shared" si="0"/>
        <v>19.25</v>
      </c>
      <c r="E6" s="3">
        <f t="shared" si="0"/>
        <v>8</v>
      </c>
      <c r="F6" s="3">
        <f t="shared" si="0"/>
        <v>1.25</v>
      </c>
      <c r="G6" s="3">
        <f t="shared" si="0"/>
        <v>-1</v>
      </c>
      <c r="H6" s="3">
        <f t="shared" si="0"/>
        <v>1.25</v>
      </c>
      <c r="I6" s="3">
        <f t="shared" si="0"/>
        <v>8</v>
      </c>
      <c r="J6" s="3">
        <f t="shared" si="0"/>
        <v>19.25</v>
      </c>
      <c r="K6" s="3">
        <f t="shared" si="0"/>
        <v>35</v>
      </c>
      <c r="L6" s="3">
        <f t="shared" si="0"/>
        <v>55.25</v>
      </c>
    </row>
    <row r="7" spans="1:12" x14ac:dyDescent="0.25">
      <c r="A7" s="1">
        <v>0</v>
      </c>
      <c r="B7" s="3">
        <f t="shared" si="1"/>
        <v>56.25</v>
      </c>
      <c r="C7" s="3">
        <f t="shared" si="0"/>
        <v>36</v>
      </c>
      <c r="D7" s="3">
        <f t="shared" si="0"/>
        <v>20.25</v>
      </c>
      <c r="E7" s="3">
        <f t="shared" si="0"/>
        <v>9</v>
      </c>
      <c r="F7" s="3">
        <f t="shared" si="0"/>
        <v>2.25</v>
      </c>
      <c r="G7" s="3">
        <f t="shared" si="0"/>
        <v>0</v>
      </c>
      <c r="H7" s="3">
        <f t="shared" si="0"/>
        <v>2.25</v>
      </c>
      <c r="I7" s="3">
        <f t="shared" si="0"/>
        <v>9</v>
      </c>
      <c r="J7" s="3">
        <f t="shared" si="0"/>
        <v>20.25</v>
      </c>
      <c r="K7" s="3">
        <f t="shared" si="0"/>
        <v>36</v>
      </c>
      <c r="L7" s="3">
        <f t="shared" si="0"/>
        <v>56.25</v>
      </c>
    </row>
    <row r="8" spans="1:12" x14ac:dyDescent="0.25">
      <c r="A8" s="1">
        <v>1</v>
      </c>
      <c r="B8" s="3">
        <f t="shared" si="1"/>
        <v>55.25</v>
      </c>
      <c r="C8" s="3">
        <f t="shared" si="0"/>
        <v>35</v>
      </c>
      <c r="D8" s="3">
        <f t="shared" si="0"/>
        <v>19.25</v>
      </c>
      <c r="E8" s="3">
        <f t="shared" si="0"/>
        <v>8</v>
      </c>
      <c r="F8" s="3">
        <f t="shared" si="0"/>
        <v>1.25</v>
      </c>
      <c r="G8" s="3">
        <f t="shared" si="0"/>
        <v>-1</v>
      </c>
      <c r="H8" s="3">
        <f t="shared" si="0"/>
        <v>1.25</v>
      </c>
      <c r="I8" s="3">
        <f t="shared" si="0"/>
        <v>8</v>
      </c>
      <c r="J8" s="3">
        <f t="shared" si="0"/>
        <v>19.25</v>
      </c>
      <c r="K8" s="3">
        <f t="shared" si="0"/>
        <v>35</v>
      </c>
      <c r="L8" s="3">
        <f t="shared" si="0"/>
        <v>55.25</v>
      </c>
    </row>
    <row r="9" spans="1:12" x14ac:dyDescent="0.25">
      <c r="A9" s="1">
        <v>2</v>
      </c>
      <c r="B9" s="3">
        <f t="shared" si="1"/>
        <v>52.25</v>
      </c>
      <c r="C9" s="3">
        <f t="shared" si="0"/>
        <v>32</v>
      </c>
      <c r="D9" s="3">
        <f t="shared" si="0"/>
        <v>16.25</v>
      </c>
      <c r="E9" s="3">
        <f t="shared" si="0"/>
        <v>5</v>
      </c>
      <c r="F9" s="3">
        <f t="shared" si="0"/>
        <v>-1.75</v>
      </c>
      <c r="G9" s="3">
        <f t="shared" si="0"/>
        <v>-4</v>
      </c>
      <c r="H9" s="3">
        <f t="shared" si="0"/>
        <v>-1.75</v>
      </c>
      <c r="I9" s="3">
        <f t="shared" si="0"/>
        <v>5</v>
      </c>
      <c r="J9" s="3">
        <f t="shared" si="0"/>
        <v>16.25</v>
      </c>
      <c r="K9" s="3">
        <f t="shared" si="0"/>
        <v>32</v>
      </c>
      <c r="L9" s="3">
        <f t="shared" si="0"/>
        <v>52.25</v>
      </c>
    </row>
    <row r="10" spans="1:12" x14ac:dyDescent="0.25">
      <c r="A10" s="1">
        <v>3</v>
      </c>
      <c r="B10" s="3">
        <f t="shared" si="1"/>
        <v>47.25</v>
      </c>
      <c r="C10" s="3">
        <f t="shared" si="0"/>
        <v>27</v>
      </c>
      <c r="D10" s="3">
        <f t="shared" si="0"/>
        <v>11.25</v>
      </c>
      <c r="E10" s="3">
        <f t="shared" si="0"/>
        <v>0</v>
      </c>
      <c r="F10" s="3">
        <f t="shared" si="0"/>
        <v>-6.75</v>
      </c>
      <c r="G10" s="3">
        <f t="shared" si="0"/>
        <v>-9</v>
      </c>
      <c r="H10" s="3">
        <f t="shared" si="0"/>
        <v>-6.75</v>
      </c>
      <c r="I10" s="3">
        <f t="shared" si="0"/>
        <v>0</v>
      </c>
      <c r="J10" s="3">
        <f t="shared" si="0"/>
        <v>11.25</v>
      </c>
      <c r="K10" s="3">
        <f t="shared" si="0"/>
        <v>27</v>
      </c>
      <c r="L10" s="3">
        <f t="shared" si="0"/>
        <v>47.25</v>
      </c>
    </row>
    <row r="11" spans="1:12" x14ac:dyDescent="0.25">
      <c r="A11" s="1">
        <v>4</v>
      </c>
      <c r="B11" s="3">
        <f t="shared" si="1"/>
        <v>40.25</v>
      </c>
      <c r="C11" s="3">
        <f t="shared" si="0"/>
        <v>20</v>
      </c>
      <c r="D11" s="3">
        <f t="shared" si="0"/>
        <v>4.25</v>
      </c>
      <c r="E11" s="3">
        <f t="shared" si="0"/>
        <v>-7</v>
      </c>
      <c r="F11" s="3">
        <f t="shared" si="0"/>
        <v>-13.75</v>
      </c>
      <c r="G11" s="3">
        <f t="shared" si="0"/>
        <v>-16</v>
      </c>
      <c r="H11" s="3">
        <f t="shared" si="0"/>
        <v>-13.75</v>
      </c>
      <c r="I11" s="3">
        <f t="shared" si="0"/>
        <v>-7</v>
      </c>
      <c r="J11" s="3">
        <f t="shared" si="0"/>
        <v>4.25</v>
      </c>
      <c r="K11" s="3">
        <f t="shared" si="0"/>
        <v>20</v>
      </c>
      <c r="L11" s="3">
        <f t="shared" si="0"/>
        <v>40.25</v>
      </c>
    </row>
    <row r="12" spans="1:12" x14ac:dyDescent="0.25">
      <c r="A12" s="1">
        <v>5</v>
      </c>
      <c r="B12" s="3">
        <f t="shared" si="1"/>
        <v>31.25</v>
      </c>
      <c r="C12" s="3">
        <f t="shared" si="0"/>
        <v>11</v>
      </c>
      <c r="D12" s="3">
        <f t="shared" si="0"/>
        <v>-4.75</v>
      </c>
      <c r="E12" s="3">
        <f t="shared" si="0"/>
        <v>-16</v>
      </c>
      <c r="F12" s="3">
        <f t="shared" si="0"/>
        <v>-22.75</v>
      </c>
      <c r="G12" s="3">
        <f t="shared" si="0"/>
        <v>-25</v>
      </c>
      <c r="H12" s="3">
        <f t="shared" si="0"/>
        <v>-22.75</v>
      </c>
      <c r="I12" s="3">
        <f t="shared" si="0"/>
        <v>-16</v>
      </c>
      <c r="J12" s="3">
        <f t="shared" si="0"/>
        <v>-4.75</v>
      </c>
      <c r="K12" s="3">
        <f t="shared" si="0"/>
        <v>11</v>
      </c>
      <c r="L12" s="3">
        <f t="shared" si="0"/>
        <v>31.25</v>
      </c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группа2.2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DAC9-2756-4EDE-9B1E-53F3712DD9DF}">
  <dimension ref="A1:L15"/>
  <sheetViews>
    <sheetView tabSelected="1" zoomScaleNormal="100" workbookViewId="0">
      <selection activeCell="A4" sqref="A4"/>
    </sheetView>
  </sheetViews>
  <sheetFormatPr defaultRowHeight="15.75" x14ac:dyDescent="0.25"/>
  <cols>
    <col min="1" max="16384" width="9.140625" style="3"/>
  </cols>
  <sheetData>
    <row r="1" spans="1:12" x14ac:dyDescent="0.25">
      <c r="A1" s="4" t="s">
        <v>10</v>
      </c>
      <c r="B1" s="4">
        <v>7</v>
      </c>
    </row>
    <row r="2" spans="1:12" x14ac:dyDescent="0.25">
      <c r="A2" s="4" t="s">
        <v>1</v>
      </c>
      <c r="B2" s="4">
        <v>4</v>
      </c>
    </row>
    <row r="4" spans="1:12" x14ac:dyDescent="0.25">
      <c r="B4" s="1">
        <f>-7.5</f>
        <v>-7.5</v>
      </c>
      <c r="C4" s="1">
        <v>-6</v>
      </c>
      <c r="D4" s="1">
        <v>-4.5</v>
      </c>
      <c r="E4" s="1">
        <v>-3</v>
      </c>
      <c r="F4" s="1">
        <v>-1.5</v>
      </c>
      <c r="G4" s="1">
        <v>0</v>
      </c>
      <c r="H4" s="1">
        <v>1.5</v>
      </c>
      <c r="I4" s="1">
        <v>3</v>
      </c>
      <c r="J4" s="1">
        <v>4.5</v>
      </c>
      <c r="K4" s="1">
        <v>6</v>
      </c>
      <c r="L4" s="1">
        <v>7.5</v>
      </c>
    </row>
    <row r="5" spans="1:12" x14ac:dyDescent="0.25">
      <c r="A5" s="1">
        <v>-5</v>
      </c>
      <c r="B5" s="3">
        <f>(B$4^2/$B$1^2)-($A5^2/$B$2^2)</f>
        <v>-0.4145408163265305</v>
      </c>
      <c r="C5" s="3">
        <f t="shared" ref="C5:L6" si="0">(C$4^2/$B$1^2)-($A5^2/$B$2^2)</f>
        <v>-0.82780612244897955</v>
      </c>
      <c r="D5" s="3">
        <f t="shared" si="0"/>
        <v>-1.1492346938775511</v>
      </c>
      <c r="E5" s="3">
        <f t="shared" si="0"/>
        <v>-1.3788265306122449</v>
      </c>
      <c r="F5" s="3">
        <f t="shared" si="0"/>
        <v>-1.5165816326530612</v>
      </c>
      <c r="G5" s="3">
        <f t="shared" si="0"/>
        <v>-1.5625</v>
      </c>
      <c r="H5" s="3">
        <f t="shared" si="0"/>
        <v>-1.5165816326530612</v>
      </c>
      <c r="I5" s="3">
        <f t="shared" si="0"/>
        <v>-1.3788265306122449</v>
      </c>
      <c r="J5" s="3">
        <f t="shared" si="0"/>
        <v>-1.1492346938775511</v>
      </c>
      <c r="K5" s="3">
        <f t="shared" si="0"/>
        <v>-0.82780612244897955</v>
      </c>
      <c r="L5" s="3">
        <f t="shared" si="0"/>
        <v>-0.4145408163265305</v>
      </c>
    </row>
    <row r="6" spans="1:12" x14ac:dyDescent="0.25">
      <c r="A6" s="1">
        <v>-4</v>
      </c>
      <c r="B6" s="3">
        <f>(B$4^2/$B$1^2)-($A6^2/$B$2^2)</f>
        <v>0.1479591836734695</v>
      </c>
      <c r="C6" s="3">
        <f t="shared" si="0"/>
        <v>-0.26530612244897955</v>
      </c>
      <c r="D6" s="3">
        <f t="shared" si="0"/>
        <v>-0.58673469387755106</v>
      </c>
      <c r="E6" s="3">
        <f t="shared" si="0"/>
        <v>-0.81632653061224492</v>
      </c>
      <c r="F6" s="3">
        <f t="shared" si="0"/>
        <v>-0.95408163265306123</v>
      </c>
      <c r="G6" s="3">
        <f t="shared" si="0"/>
        <v>-1</v>
      </c>
      <c r="H6" s="3">
        <f t="shared" si="0"/>
        <v>-0.95408163265306123</v>
      </c>
      <c r="I6" s="3">
        <f t="shared" si="0"/>
        <v>-0.81632653061224492</v>
      </c>
      <c r="J6" s="3">
        <f t="shared" si="0"/>
        <v>-0.58673469387755106</v>
      </c>
      <c r="K6" s="3">
        <f t="shared" si="0"/>
        <v>-0.26530612244897955</v>
      </c>
      <c r="L6" s="3">
        <f t="shared" si="0"/>
        <v>0.1479591836734695</v>
      </c>
    </row>
    <row r="7" spans="1:12" x14ac:dyDescent="0.25">
      <c r="A7" s="1">
        <v>-3</v>
      </c>
      <c r="B7" s="3">
        <f t="shared" ref="B7:L15" si="1">(B$4^2/$B$1^2)-($A7^2/$B$2^2)</f>
        <v>0.5854591836734695</v>
      </c>
      <c r="C7" s="3">
        <f t="shared" si="1"/>
        <v>0.17219387755102045</v>
      </c>
      <c r="D7" s="3">
        <f t="shared" si="1"/>
        <v>-0.14923469387755101</v>
      </c>
      <c r="E7" s="3">
        <f t="shared" si="1"/>
        <v>-0.37882653061224492</v>
      </c>
      <c r="F7" s="3">
        <f t="shared" si="1"/>
        <v>-0.51658163265306123</v>
      </c>
      <c r="G7" s="3">
        <f t="shared" si="1"/>
        <v>-0.5625</v>
      </c>
      <c r="H7" s="3">
        <f t="shared" si="1"/>
        <v>-0.51658163265306123</v>
      </c>
      <c r="I7" s="3">
        <f t="shared" si="1"/>
        <v>-0.37882653061224492</v>
      </c>
      <c r="J7" s="3">
        <f t="shared" si="1"/>
        <v>-0.14923469387755101</v>
      </c>
      <c r="K7" s="3">
        <f t="shared" si="1"/>
        <v>0.17219387755102045</v>
      </c>
      <c r="L7" s="3">
        <f t="shared" si="1"/>
        <v>0.5854591836734695</v>
      </c>
    </row>
    <row r="8" spans="1:12" x14ac:dyDescent="0.25">
      <c r="A8" s="1">
        <v>-2</v>
      </c>
      <c r="B8" s="3">
        <f t="shared" si="1"/>
        <v>0.8979591836734695</v>
      </c>
      <c r="C8" s="3">
        <f t="shared" si="1"/>
        <v>0.48469387755102045</v>
      </c>
      <c r="D8" s="3">
        <f t="shared" si="1"/>
        <v>0.16326530612244899</v>
      </c>
      <c r="E8" s="3">
        <f t="shared" si="1"/>
        <v>-6.6326530612244888E-2</v>
      </c>
      <c r="F8" s="3">
        <f t="shared" si="1"/>
        <v>-0.20408163265306123</v>
      </c>
      <c r="G8" s="3">
        <f t="shared" si="1"/>
        <v>-0.25</v>
      </c>
      <c r="H8" s="3">
        <f t="shared" si="1"/>
        <v>-0.20408163265306123</v>
      </c>
      <c r="I8" s="3">
        <f t="shared" si="1"/>
        <v>-6.6326530612244888E-2</v>
      </c>
      <c r="J8" s="3">
        <f t="shared" si="1"/>
        <v>0.16326530612244899</v>
      </c>
      <c r="K8" s="3">
        <f t="shared" si="1"/>
        <v>0.48469387755102045</v>
      </c>
      <c r="L8" s="3">
        <f t="shared" si="1"/>
        <v>0.8979591836734695</v>
      </c>
    </row>
    <row r="9" spans="1:12" x14ac:dyDescent="0.25">
      <c r="A9" s="1">
        <v>-1</v>
      </c>
      <c r="B9" s="3">
        <f t="shared" si="1"/>
        <v>1.0854591836734695</v>
      </c>
      <c r="C9" s="3">
        <f t="shared" si="1"/>
        <v>0.67219387755102045</v>
      </c>
      <c r="D9" s="3">
        <f t="shared" si="1"/>
        <v>0.35076530612244899</v>
      </c>
      <c r="E9" s="3">
        <f t="shared" si="1"/>
        <v>0.12117346938775511</v>
      </c>
      <c r="F9" s="3">
        <f t="shared" si="1"/>
        <v>-1.6581632653061222E-2</v>
      </c>
      <c r="G9" s="3">
        <f t="shared" si="1"/>
        <v>-6.25E-2</v>
      </c>
      <c r="H9" s="3">
        <f t="shared" si="1"/>
        <v>-1.6581632653061222E-2</v>
      </c>
      <c r="I9" s="3">
        <f t="shared" si="1"/>
        <v>0.12117346938775511</v>
      </c>
      <c r="J9" s="3">
        <f t="shared" si="1"/>
        <v>0.35076530612244899</v>
      </c>
      <c r="K9" s="3">
        <f t="shared" si="1"/>
        <v>0.67219387755102045</v>
      </c>
      <c r="L9" s="3">
        <f t="shared" si="1"/>
        <v>1.0854591836734695</v>
      </c>
    </row>
    <row r="10" spans="1:12" x14ac:dyDescent="0.25">
      <c r="A10" s="1">
        <v>0</v>
      </c>
      <c r="B10" s="3">
        <f t="shared" si="1"/>
        <v>1.1479591836734695</v>
      </c>
      <c r="C10" s="3">
        <f t="shared" si="1"/>
        <v>0.73469387755102045</v>
      </c>
      <c r="D10" s="3">
        <f t="shared" si="1"/>
        <v>0.41326530612244899</v>
      </c>
      <c r="E10" s="3">
        <f t="shared" si="1"/>
        <v>0.18367346938775511</v>
      </c>
      <c r="F10" s="3">
        <f t="shared" si="1"/>
        <v>4.5918367346938778E-2</v>
      </c>
      <c r="G10" s="3">
        <f t="shared" si="1"/>
        <v>0</v>
      </c>
      <c r="H10" s="3">
        <f t="shared" si="1"/>
        <v>4.5918367346938778E-2</v>
      </c>
      <c r="I10" s="3">
        <f t="shared" si="1"/>
        <v>0.18367346938775511</v>
      </c>
      <c r="J10" s="3">
        <f t="shared" si="1"/>
        <v>0.41326530612244899</v>
      </c>
      <c r="K10" s="3">
        <f t="shared" si="1"/>
        <v>0.73469387755102045</v>
      </c>
      <c r="L10" s="3">
        <f t="shared" si="1"/>
        <v>1.1479591836734695</v>
      </c>
    </row>
    <row r="11" spans="1:12" x14ac:dyDescent="0.25">
      <c r="A11" s="1">
        <v>1</v>
      </c>
      <c r="B11" s="3">
        <f t="shared" si="1"/>
        <v>1.0854591836734695</v>
      </c>
      <c r="C11" s="3">
        <f t="shared" si="1"/>
        <v>0.67219387755102045</v>
      </c>
      <c r="D11" s="3">
        <f t="shared" si="1"/>
        <v>0.35076530612244899</v>
      </c>
      <c r="E11" s="3">
        <f t="shared" si="1"/>
        <v>0.12117346938775511</v>
      </c>
      <c r="F11" s="3">
        <f t="shared" si="1"/>
        <v>-1.6581632653061222E-2</v>
      </c>
      <c r="G11" s="3">
        <f t="shared" si="1"/>
        <v>-6.25E-2</v>
      </c>
      <c r="H11" s="3">
        <f t="shared" si="1"/>
        <v>-1.6581632653061222E-2</v>
      </c>
      <c r="I11" s="3">
        <f t="shared" si="1"/>
        <v>0.12117346938775511</v>
      </c>
      <c r="J11" s="3">
        <f t="shared" si="1"/>
        <v>0.35076530612244899</v>
      </c>
      <c r="K11" s="3">
        <f t="shared" si="1"/>
        <v>0.67219387755102045</v>
      </c>
      <c r="L11" s="3">
        <f t="shared" si="1"/>
        <v>1.0854591836734695</v>
      </c>
    </row>
    <row r="12" spans="1:12" x14ac:dyDescent="0.25">
      <c r="A12" s="1">
        <v>2</v>
      </c>
      <c r="B12" s="3">
        <f t="shared" si="1"/>
        <v>0.8979591836734695</v>
      </c>
      <c r="C12" s="3">
        <f t="shared" si="1"/>
        <v>0.48469387755102045</v>
      </c>
      <c r="D12" s="3">
        <f t="shared" si="1"/>
        <v>0.16326530612244899</v>
      </c>
      <c r="E12" s="3">
        <f t="shared" si="1"/>
        <v>-6.6326530612244888E-2</v>
      </c>
      <c r="F12" s="3">
        <f t="shared" si="1"/>
        <v>-0.20408163265306123</v>
      </c>
      <c r="G12" s="3">
        <f t="shared" si="1"/>
        <v>-0.25</v>
      </c>
      <c r="H12" s="3">
        <f t="shared" si="1"/>
        <v>-0.20408163265306123</v>
      </c>
      <c r="I12" s="3">
        <f t="shared" si="1"/>
        <v>-6.6326530612244888E-2</v>
      </c>
      <c r="J12" s="3">
        <f t="shared" si="1"/>
        <v>0.16326530612244899</v>
      </c>
      <c r="K12" s="3">
        <f t="shared" si="1"/>
        <v>0.48469387755102045</v>
      </c>
      <c r="L12" s="3">
        <f t="shared" si="1"/>
        <v>0.8979591836734695</v>
      </c>
    </row>
    <row r="13" spans="1:12" x14ac:dyDescent="0.25">
      <c r="A13" s="1">
        <v>3</v>
      </c>
      <c r="B13" s="3">
        <f t="shared" si="1"/>
        <v>0.5854591836734695</v>
      </c>
      <c r="C13" s="3">
        <f t="shared" si="1"/>
        <v>0.17219387755102045</v>
      </c>
      <c r="D13" s="3">
        <f t="shared" si="1"/>
        <v>-0.14923469387755101</v>
      </c>
      <c r="E13" s="3">
        <f t="shared" si="1"/>
        <v>-0.37882653061224492</v>
      </c>
      <c r="F13" s="3">
        <f t="shared" si="1"/>
        <v>-0.51658163265306123</v>
      </c>
      <c r="G13" s="3">
        <f t="shared" si="1"/>
        <v>-0.5625</v>
      </c>
      <c r="H13" s="3">
        <f t="shared" si="1"/>
        <v>-0.51658163265306123</v>
      </c>
      <c r="I13" s="3">
        <f t="shared" si="1"/>
        <v>-0.37882653061224492</v>
      </c>
      <c r="J13" s="3">
        <f t="shared" si="1"/>
        <v>-0.14923469387755101</v>
      </c>
      <c r="K13" s="3">
        <f t="shared" si="1"/>
        <v>0.17219387755102045</v>
      </c>
      <c r="L13" s="3">
        <f t="shared" si="1"/>
        <v>0.5854591836734695</v>
      </c>
    </row>
    <row r="14" spans="1:12" x14ac:dyDescent="0.25">
      <c r="A14" s="1">
        <v>4</v>
      </c>
      <c r="B14" s="3">
        <f t="shared" si="1"/>
        <v>0.1479591836734695</v>
      </c>
      <c r="C14" s="3">
        <f t="shared" si="1"/>
        <v>-0.26530612244897955</v>
      </c>
      <c r="D14" s="3">
        <f t="shared" si="1"/>
        <v>-0.58673469387755106</v>
      </c>
      <c r="E14" s="3">
        <f t="shared" si="1"/>
        <v>-0.81632653061224492</v>
      </c>
      <c r="F14" s="3">
        <f t="shared" si="1"/>
        <v>-0.95408163265306123</v>
      </c>
      <c r="G14" s="3">
        <f t="shared" si="1"/>
        <v>-1</v>
      </c>
      <c r="H14" s="3">
        <f t="shared" si="1"/>
        <v>-0.95408163265306123</v>
      </c>
      <c r="I14" s="3">
        <f t="shared" si="1"/>
        <v>-0.81632653061224492</v>
      </c>
      <c r="J14" s="3">
        <f t="shared" si="1"/>
        <v>-0.58673469387755106</v>
      </c>
      <c r="K14" s="3">
        <f t="shared" si="1"/>
        <v>-0.26530612244897955</v>
      </c>
      <c r="L14" s="3">
        <f t="shared" si="1"/>
        <v>0.1479591836734695</v>
      </c>
    </row>
    <row r="15" spans="1:12" x14ac:dyDescent="0.25">
      <c r="A15" s="1">
        <v>5</v>
      </c>
      <c r="B15" s="3">
        <f t="shared" si="1"/>
        <v>-0.4145408163265305</v>
      </c>
      <c r="C15" s="3">
        <f t="shared" si="1"/>
        <v>-0.82780612244897955</v>
      </c>
      <c r="D15" s="3">
        <f t="shared" si="1"/>
        <v>-1.1492346938775511</v>
      </c>
      <c r="E15" s="3">
        <f t="shared" si="1"/>
        <v>-1.3788265306122449</v>
      </c>
      <c r="F15" s="3">
        <f t="shared" si="1"/>
        <v>-1.5165816326530612</v>
      </c>
      <c r="G15" s="3">
        <f t="shared" si="1"/>
        <v>-1.5625</v>
      </c>
      <c r="H15" s="3">
        <f t="shared" si="1"/>
        <v>-1.5165816326530612</v>
      </c>
      <c r="I15" s="3">
        <f t="shared" si="1"/>
        <v>-1.3788265306122449</v>
      </c>
      <c r="J15" s="3">
        <f t="shared" si="1"/>
        <v>-1.1492346938775511</v>
      </c>
      <c r="K15" s="3">
        <f t="shared" si="1"/>
        <v>-0.82780612244897955</v>
      </c>
      <c r="L15" s="3">
        <f t="shared" si="1"/>
        <v>-0.4145408163265305</v>
      </c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группа2.2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задание1</vt:lpstr>
      <vt:lpstr>задание2</vt:lpstr>
      <vt:lpstr>задание3</vt:lpstr>
      <vt:lpstr>Задание4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2022-09-20T21:50:13Z</dcterms:modified>
</cp:coreProperties>
</file>
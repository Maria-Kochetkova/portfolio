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1686741\Desktop\"/>
    </mc:Choice>
  </mc:AlternateContent>
  <xr:revisionPtr revIDLastSave="0" documentId="13_ncr:1_{5923CB10-0D4A-4269-B124-1B4591DC4E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задача" sheetId="1" r:id="rId1"/>
    <sheet name="45 град" sheetId="3" r:id="rId2"/>
    <sheet name="30 град" sheetId="4" r:id="rId3"/>
    <sheet name="15 град" sheetId="5" r:id="rId4"/>
    <sheet name="общий график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5" l="1"/>
  <c r="G2" i="4"/>
  <c r="G2" i="3"/>
  <c r="M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C3" i="1"/>
  <c r="C2" i="1"/>
  <c r="B3" i="1"/>
  <c r="A3" i="1"/>
  <c r="B2" i="1"/>
  <c r="D2" i="1"/>
  <c r="L2" i="1"/>
  <c r="K2" i="1"/>
  <c r="J2" i="1"/>
  <c r="K2" i="5" l="1"/>
  <c r="J2" i="5"/>
  <c r="B2" i="5" s="1"/>
  <c r="J2" i="4"/>
  <c r="B2" i="4" s="1"/>
  <c r="K2" i="4"/>
  <c r="K2" i="3"/>
  <c r="J2" i="3"/>
  <c r="B2" i="3" s="1"/>
  <c r="L2" i="5" l="1"/>
  <c r="D2" i="5" s="1"/>
  <c r="A3" i="5" s="1"/>
  <c r="C2" i="5"/>
  <c r="L2" i="4"/>
  <c r="D2" i="4" s="1"/>
  <c r="A3" i="4" s="1"/>
  <c r="C2" i="4"/>
  <c r="L2" i="3"/>
  <c r="D2" i="3" s="1"/>
  <c r="A3" i="3" s="1"/>
  <c r="C2" i="3"/>
  <c r="B3" i="5" l="1"/>
  <c r="A4" i="5"/>
  <c r="C3" i="5"/>
  <c r="A4" i="4"/>
  <c r="B3" i="4"/>
  <c r="C3" i="4"/>
  <c r="B3" i="3"/>
  <c r="A4" i="3"/>
  <c r="C3" i="3"/>
  <c r="A5" i="5" l="1"/>
  <c r="B4" i="5"/>
  <c r="C4" i="5"/>
  <c r="A5" i="4"/>
  <c r="B4" i="4"/>
  <c r="C4" i="4"/>
  <c r="A5" i="3"/>
  <c r="B4" i="3"/>
  <c r="C4" i="3"/>
  <c r="A6" i="5" l="1"/>
  <c r="B5" i="5"/>
  <c r="C5" i="5"/>
  <c r="A6" i="4"/>
  <c r="B5" i="4"/>
  <c r="C5" i="4"/>
  <c r="A6" i="3"/>
  <c r="B5" i="3"/>
  <c r="C5" i="3"/>
  <c r="B6" i="5" l="1"/>
  <c r="A7" i="5"/>
  <c r="C6" i="5"/>
  <c r="B6" i="4"/>
  <c r="A7" i="4"/>
  <c r="C6" i="4"/>
  <c r="B6" i="3"/>
  <c r="A7" i="3"/>
  <c r="C6" i="3"/>
  <c r="B7" i="5" l="1"/>
  <c r="A8" i="5"/>
  <c r="C7" i="5"/>
  <c r="A8" i="4"/>
  <c r="B7" i="4"/>
  <c r="C7" i="4"/>
  <c r="B7" i="3"/>
  <c r="A8" i="3"/>
  <c r="C7" i="3"/>
  <c r="A9" i="5" l="1"/>
  <c r="B8" i="5"/>
  <c r="C8" i="5"/>
  <c r="A9" i="4"/>
  <c r="B8" i="4"/>
  <c r="C8" i="4"/>
  <c r="A9" i="3"/>
  <c r="B8" i="3"/>
  <c r="C8" i="3"/>
  <c r="A10" i="5" l="1"/>
  <c r="B9" i="5"/>
  <c r="C9" i="5"/>
  <c r="B9" i="4"/>
  <c r="A10" i="4"/>
  <c r="C9" i="4"/>
  <c r="A10" i="3"/>
  <c r="B9" i="3"/>
  <c r="C9" i="3"/>
  <c r="B10" i="5" l="1"/>
  <c r="A11" i="5"/>
  <c r="C10" i="5"/>
  <c r="B10" i="4"/>
  <c r="A11" i="4"/>
  <c r="C10" i="4"/>
  <c r="B10" i="3"/>
  <c r="A11" i="3"/>
  <c r="C10" i="3"/>
  <c r="B11" i="5" l="1"/>
  <c r="A12" i="5"/>
  <c r="C11" i="5"/>
  <c r="B11" i="4"/>
  <c r="A12" i="4"/>
  <c r="C11" i="4"/>
  <c r="B11" i="3"/>
  <c r="A12" i="3"/>
  <c r="C11" i="3"/>
  <c r="A13" i="5" l="1"/>
  <c r="B12" i="5"/>
  <c r="C12" i="5"/>
  <c r="A13" i="4"/>
  <c r="B12" i="4"/>
  <c r="C12" i="4"/>
  <c r="A13" i="3"/>
  <c r="B12" i="3"/>
  <c r="C12" i="3"/>
  <c r="A14" i="5" l="1"/>
  <c r="B13" i="5"/>
  <c r="C13" i="5"/>
  <c r="B13" i="4"/>
  <c r="A14" i="4"/>
  <c r="C13" i="4"/>
  <c r="A14" i="3"/>
  <c r="B13" i="3"/>
  <c r="C13" i="3"/>
  <c r="B14" i="5" l="1"/>
  <c r="A15" i="5"/>
  <c r="C14" i="5"/>
  <c r="B14" i="4"/>
  <c r="A15" i="4"/>
  <c r="C14" i="4"/>
  <c r="B14" i="3"/>
  <c r="A15" i="3"/>
  <c r="C14" i="3"/>
  <c r="B15" i="5" l="1"/>
  <c r="A16" i="5"/>
  <c r="C15" i="5"/>
  <c r="A16" i="4"/>
  <c r="B15" i="4"/>
  <c r="C15" i="4"/>
  <c r="B15" i="3"/>
  <c r="A16" i="3"/>
  <c r="C15" i="3"/>
  <c r="A17" i="5" l="1"/>
  <c r="B16" i="5"/>
  <c r="C16" i="5"/>
  <c r="A17" i="4"/>
  <c r="B16" i="4"/>
  <c r="C16" i="4"/>
  <c r="A17" i="3"/>
  <c r="B16" i="3"/>
  <c r="C16" i="3"/>
  <c r="A18" i="5" l="1"/>
  <c r="B17" i="5"/>
  <c r="C17" i="5"/>
  <c r="A18" i="4"/>
  <c r="B17" i="4"/>
  <c r="C17" i="4"/>
  <c r="A18" i="3"/>
  <c r="B17" i="3"/>
  <c r="C17" i="3"/>
  <c r="B18" i="5" l="1"/>
  <c r="A19" i="5"/>
  <c r="C18" i="5"/>
  <c r="B18" i="4"/>
  <c r="A19" i="4"/>
  <c r="C18" i="4"/>
  <c r="B18" i="3"/>
  <c r="A19" i="3"/>
  <c r="C18" i="3"/>
  <c r="B19" i="5" l="1"/>
  <c r="A20" i="5"/>
  <c r="C19" i="5"/>
  <c r="B19" i="4"/>
  <c r="A20" i="4"/>
  <c r="C19" i="4"/>
  <c r="B19" i="3"/>
  <c r="A20" i="3"/>
  <c r="C19" i="3"/>
  <c r="A21" i="5" l="1"/>
  <c r="B20" i="5"/>
  <c r="C20" i="5"/>
  <c r="A21" i="4"/>
  <c r="B20" i="4"/>
  <c r="C20" i="4"/>
  <c r="A21" i="3"/>
  <c r="B20" i="3"/>
  <c r="C20" i="3"/>
  <c r="A22" i="5" l="1"/>
  <c r="B21" i="5"/>
  <c r="C21" i="5"/>
  <c r="A22" i="4"/>
  <c r="B21" i="4"/>
  <c r="C21" i="4"/>
  <c r="A22" i="3"/>
  <c r="B21" i="3"/>
  <c r="C21" i="3"/>
  <c r="B22" i="5" l="1"/>
  <c r="A23" i="5"/>
  <c r="C22" i="5"/>
  <c r="B22" i="4"/>
  <c r="A23" i="4"/>
  <c r="C22" i="4"/>
  <c r="B22" i="3"/>
  <c r="A23" i="3"/>
  <c r="C22" i="3"/>
  <c r="B23" i="5" l="1"/>
  <c r="A24" i="5"/>
  <c r="C23" i="5"/>
  <c r="A24" i="4"/>
  <c r="B23" i="4"/>
  <c r="C23" i="4"/>
  <c r="B23" i="3"/>
  <c r="A24" i="3"/>
  <c r="C23" i="3"/>
  <c r="A25" i="5" l="1"/>
  <c r="B24" i="5"/>
  <c r="C24" i="5"/>
  <c r="A25" i="4"/>
  <c r="B24" i="4"/>
  <c r="C24" i="4"/>
  <c r="A25" i="3"/>
  <c r="B24" i="3"/>
  <c r="C24" i="3"/>
  <c r="A26" i="5" l="1"/>
  <c r="B25" i="5"/>
  <c r="C25" i="5"/>
  <c r="B25" i="4"/>
  <c r="A26" i="4"/>
  <c r="C25" i="4"/>
  <c r="A26" i="3"/>
  <c r="B25" i="3"/>
  <c r="C25" i="3"/>
  <c r="B26" i="5" l="1"/>
  <c r="A27" i="5"/>
  <c r="C26" i="5"/>
  <c r="B26" i="4"/>
  <c r="A27" i="4"/>
  <c r="C26" i="4"/>
  <c r="B26" i="3"/>
  <c r="A27" i="3"/>
  <c r="C26" i="3"/>
  <c r="B27" i="5" l="1"/>
  <c r="A28" i="5"/>
  <c r="C27" i="5"/>
  <c r="B27" i="4"/>
  <c r="A28" i="4"/>
  <c r="C27" i="4"/>
  <c r="B27" i="3"/>
  <c r="A28" i="3"/>
  <c r="C27" i="3"/>
  <c r="A29" i="5" l="1"/>
  <c r="B28" i="5"/>
  <c r="C28" i="5"/>
  <c r="A29" i="4"/>
  <c r="B28" i="4"/>
  <c r="C28" i="4"/>
  <c r="A29" i="3"/>
  <c r="B28" i="3"/>
  <c r="C28" i="3"/>
  <c r="A30" i="5" l="1"/>
  <c r="B29" i="5"/>
  <c r="C29" i="5"/>
  <c r="B29" i="4"/>
  <c r="A30" i="4"/>
  <c r="C29" i="4"/>
  <c r="A30" i="3"/>
  <c r="B29" i="3"/>
  <c r="C29" i="3"/>
  <c r="B30" i="5" l="1"/>
  <c r="A31" i="5"/>
  <c r="C30" i="5"/>
  <c r="B30" i="4"/>
  <c r="A31" i="4"/>
  <c r="C30" i="4"/>
  <c r="B30" i="3"/>
  <c r="A31" i="3"/>
  <c r="C30" i="3"/>
  <c r="B31" i="5" l="1"/>
  <c r="A32" i="5"/>
  <c r="C31" i="5"/>
  <c r="A32" i="4"/>
  <c r="B31" i="4"/>
  <c r="C31" i="4"/>
  <c r="B31" i="3"/>
  <c r="A32" i="3"/>
  <c r="C31" i="3"/>
  <c r="A33" i="5" l="1"/>
  <c r="B32" i="5"/>
  <c r="C32" i="5"/>
  <c r="A33" i="4"/>
  <c r="B32" i="4"/>
  <c r="C32" i="4"/>
  <c r="A33" i="3"/>
  <c r="B32" i="3"/>
  <c r="C32" i="3"/>
  <c r="A34" i="5" l="1"/>
  <c r="B33" i="5"/>
  <c r="C33" i="5"/>
  <c r="A34" i="4"/>
  <c r="B33" i="4"/>
  <c r="C33" i="4"/>
  <c r="A34" i="3"/>
  <c r="B33" i="3"/>
  <c r="C33" i="3"/>
  <c r="B34" i="5" l="1"/>
  <c r="A35" i="5"/>
  <c r="C34" i="5"/>
  <c r="B34" i="4"/>
  <c r="A35" i="4"/>
  <c r="C34" i="4"/>
  <c r="B34" i="3"/>
  <c r="A35" i="3"/>
  <c r="C34" i="3"/>
  <c r="B35" i="5" l="1"/>
  <c r="A36" i="5"/>
  <c r="C35" i="5"/>
  <c r="A36" i="4"/>
  <c r="B35" i="4"/>
  <c r="C35" i="4"/>
  <c r="B35" i="3"/>
  <c r="A36" i="3"/>
  <c r="C35" i="3"/>
  <c r="A37" i="5" l="1"/>
  <c r="B36" i="5"/>
  <c r="C36" i="5"/>
  <c r="A37" i="4"/>
  <c r="B36" i="4"/>
  <c r="C36" i="4"/>
  <c r="A37" i="3"/>
  <c r="B36" i="3"/>
  <c r="C36" i="3"/>
  <c r="A38" i="5" l="1"/>
  <c r="B37" i="5"/>
  <c r="C37" i="5"/>
  <c r="A38" i="4"/>
  <c r="B37" i="4"/>
  <c r="C37" i="4"/>
  <c r="A38" i="3"/>
  <c r="B37" i="3"/>
  <c r="C37" i="3"/>
  <c r="B38" i="5" l="1"/>
  <c r="A39" i="5"/>
  <c r="C38" i="5"/>
  <c r="B38" i="4"/>
  <c r="A39" i="4"/>
  <c r="C38" i="4"/>
  <c r="B38" i="3"/>
  <c r="A39" i="3"/>
  <c r="C38" i="3"/>
  <c r="B39" i="5" l="1"/>
  <c r="A40" i="5"/>
  <c r="C39" i="5"/>
  <c r="A40" i="4"/>
  <c r="B39" i="4"/>
  <c r="C39" i="4"/>
  <c r="B39" i="3"/>
  <c r="A40" i="3"/>
  <c r="C39" i="3"/>
  <c r="A41" i="5" l="1"/>
  <c r="B40" i="5"/>
  <c r="C40" i="5"/>
  <c r="A41" i="4"/>
  <c r="B40" i="4"/>
  <c r="C40" i="4"/>
  <c r="A41" i="3"/>
  <c r="B40" i="3"/>
  <c r="C40" i="3"/>
  <c r="A42" i="5" l="1"/>
  <c r="B41" i="5"/>
  <c r="C41" i="5"/>
  <c r="B41" i="4"/>
  <c r="A42" i="4"/>
  <c r="C41" i="4"/>
  <c r="A42" i="3"/>
  <c r="B41" i="3"/>
  <c r="C41" i="3"/>
  <c r="B42" i="5" l="1"/>
  <c r="A43" i="5"/>
  <c r="C42" i="5"/>
  <c r="B42" i="4"/>
  <c r="A43" i="4"/>
  <c r="C42" i="4"/>
  <c r="B42" i="3"/>
  <c r="A43" i="3"/>
  <c r="C42" i="3"/>
  <c r="B43" i="5" l="1"/>
  <c r="A44" i="5"/>
  <c r="C43" i="5"/>
  <c r="B43" i="4"/>
  <c r="A44" i="4"/>
  <c r="C43" i="4"/>
  <c r="B43" i="3"/>
  <c r="A44" i="3"/>
  <c r="C43" i="3"/>
  <c r="A45" i="5" l="1"/>
  <c r="B44" i="5"/>
  <c r="C44" i="5"/>
  <c r="A45" i="4"/>
  <c r="B44" i="4"/>
  <c r="C44" i="4"/>
  <c r="A45" i="3"/>
  <c r="B44" i="3"/>
  <c r="C44" i="3"/>
  <c r="A46" i="5" l="1"/>
  <c r="B45" i="5"/>
  <c r="C45" i="5"/>
  <c r="B45" i="4"/>
  <c r="A46" i="4"/>
  <c r="C45" i="4"/>
  <c r="A46" i="3"/>
  <c r="B45" i="3"/>
  <c r="C45" i="3"/>
  <c r="B46" i="5" l="1"/>
  <c r="A47" i="5"/>
  <c r="C46" i="5"/>
  <c r="B46" i="4"/>
  <c r="A47" i="4"/>
  <c r="C46" i="4"/>
  <c r="B46" i="3"/>
  <c r="A47" i="3"/>
  <c r="C46" i="3"/>
  <c r="B47" i="5" l="1"/>
  <c r="A48" i="5"/>
  <c r="C47" i="5"/>
  <c r="A48" i="4"/>
  <c r="B47" i="4"/>
  <c r="C47" i="4"/>
  <c r="B47" i="3"/>
  <c r="A48" i="3"/>
  <c r="C47" i="3"/>
  <c r="A49" i="5" l="1"/>
  <c r="B48" i="5"/>
  <c r="C48" i="5"/>
  <c r="A49" i="4"/>
  <c r="B48" i="4"/>
  <c r="C48" i="4"/>
  <c r="A49" i="3"/>
  <c r="B48" i="3"/>
  <c r="C48" i="3"/>
  <c r="A50" i="5" l="1"/>
  <c r="B49" i="5"/>
  <c r="C49" i="5"/>
  <c r="A50" i="4"/>
  <c r="B49" i="4"/>
  <c r="C49" i="4"/>
  <c r="A50" i="3"/>
  <c r="B49" i="3"/>
  <c r="C49" i="3"/>
  <c r="B50" i="5" l="1"/>
  <c r="A51" i="5"/>
  <c r="C50" i="5"/>
  <c r="B50" i="4"/>
  <c r="A51" i="4"/>
  <c r="C50" i="4"/>
  <c r="B50" i="3"/>
  <c r="A51" i="3"/>
  <c r="C50" i="3"/>
  <c r="B51" i="5" l="1"/>
  <c r="A52" i="5"/>
  <c r="C51" i="5"/>
  <c r="B51" i="4"/>
  <c r="A52" i="4"/>
  <c r="C51" i="4"/>
  <c r="B51" i="3"/>
  <c r="A52" i="3"/>
  <c r="C51" i="3"/>
  <c r="A53" i="5" l="1"/>
  <c r="B52" i="5"/>
  <c r="C52" i="5"/>
  <c r="A53" i="4"/>
  <c r="B52" i="4"/>
  <c r="C52" i="4"/>
  <c r="A53" i="3"/>
  <c r="B52" i="3"/>
  <c r="C52" i="3"/>
  <c r="A54" i="5" l="1"/>
  <c r="B53" i="5"/>
  <c r="C53" i="5"/>
  <c r="A54" i="4"/>
  <c r="B53" i="4"/>
  <c r="C53" i="4"/>
  <c r="A54" i="3"/>
  <c r="B53" i="3"/>
  <c r="C53" i="3"/>
  <c r="B54" i="5" l="1"/>
  <c r="A55" i="5"/>
  <c r="C54" i="5"/>
  <c r="B54" i="4"/>
  <c r="A55" i="4"/>
  <c r="C54" i="4"/>
  <c r="B54" i="3"/>
  <c r="A55" i="3"/>
  <c r="C54" i="3"/>
  <c r="B55" i="5" l="1"/>
  <c r="A56" i="5"/>
  <c r="C55" i="5"/>
  <c r="A56" i="4"/>
  <c r="B55" i="4"/>
  <c r="C55" i="4"/>
  <c r="B55" i="3"/>
  <c r="A56" i="3"/>
  <c r="C55" i="3"/>
  <c r="A57" i="5" l="1"/>
  <c r="B56" i="5"/>
  <c r="C56" i="5"/>
  <c r="A57" i="4"/>
  <c r="B56" i="4"/>
  <c r="C56" i="4"/>
  <c r="A57" i="3"/>
  <c r="B56" i="3"/>
  <c r="C56" i="3"/>
  <c r="A58" i="5" l="1"/>
  <c r="B57" i="5"/>
  <c r="C57" i="5"/>
  <c r="B57" i="4"/>
  <c r="A58" i="4"/>
  <c r="C57" i="4"/>
  <c r="A58" i="3"/>
  <c r="B57" i="3"/>
  <c r="C57" i="3"/>
  <c r="B58" i="5" l="1"/>
  <c r="A59" i="5"/>
  <c r="C58" i="5"/>
  <c r="B58" i="4"/>
  <c r="A59" i="4"/>
  <c r="C58" i="4"/>
  <c r="B58" i="3"/>
  <c r="A59" i="3"/>
  <c r="C58" i="3"/>
  <c r="B59" i="5" l="1"/>
  <c r="A60" i="5"/>
  <c r="C59" i="5"/>
  <c r="B59" i="4"/>
  <c r="A60" i="4"/>
  <c r="C59" i="4"/>
  <c r="B59" i="3"/>
  <c r="A60" i="3"/>
  <c r="C59" i="3"/>
  <c r="A61" i="5" l="1"/>
  <c r="B60" i="5"/>
  <c r="C60" i="5"/>
  <c r="A61" i="4"/>
  <c r="B60" i="4"/>
  <c r="C60" i="4"/>
  <c r="A61" i="3"/>
  <c r="B60" i="3"/>
  <c r="C60" i="3"/>
  <c r="A62" i="5" l="1"/>
  <c r="B61" i="5"/>
  <c r="C61" i="5"/>
  <c r="B61" i="4"/>
  <c r="A62" i="4"/>
  <c r="C61" i="4"/>
  <c r="A62" i="3"/>
  <c r="B61" i="3"/>
  <c r="C61" i="3"/>
  <c r="B62" i="5" l="1"/>
  <c r="A63" i="5"/>
  <c r="C62" i="5"/>
  <c r="B62" i="4"/>
  <c r="A63" i="4"/>
  <c r="C62" i="4"/>
  <c r="B62" i="3"/>
  <c r="A63" i="3"/>
  <c r="C62" i="3"/>
  <c r="B63" i="5" l="1"/>
  <c r="A64" i="5"/>
  <c r="C63" i="5"/>
  <c r="A64" i="4"/>
  <c r="B63" i="4"/>
  <c r="C63" i="4"/>
  <c r="B63" i="3"/>
  <c r="A64" i="3"/>
  <c r="C63" i="3"/>
  <c r="A65" i="5" l="1"/>
  <c r="B64" i="5"/>
  <c r="C64" i="5"/>
  <c r="A65" i="4"/>
  <c r="B64" i="4"/>
  <c r="C64" i="4"/>
  <c r="A65" i="3"/>
  <c r="B64" i="3"/>
  <c r="C64" i="3"/>
  <c r="A66" i="5" l="1"/>
  <c r="B65" i="5"/>
  <c r="C65" i="5"/>
  <c r="A66" i="4"/>
  <c r="B65" i="4"/>
  <c r="C65" i="4"/>
  <c r="A66" i="3"/>
  <c r="B65" i="3"/>
  <c r="C65" i="3"/>
  <c r="B66" i="5" l="1"/>
  <c r="A67" i="5"/>
  <c r="C66" i="5"/>
  <c r="B66" i="4"/>
  <c r="A67" i="4"/>
  <c r="C66" i="4"/>
  <c r="B66" i="3"/>
  <c r="A67" i="3"/>
  <c r="C66" i="3"/>
  <c r="B67" i="5" l="1"/>
  <c r="A68" i="5"/>
  <c r="C67" i="5"/>
  <c r="A68" i="4"/>
  <c r="B67" i="4"/>
  <c r="C67" i="4"/>
  <c r="B67" i="3"/>
  <c r="A68" i="3"/>
  <c r="C67" i="3"/>
  <c r="A69" i="5" l="1"/>
  <c r="B68" i="5"/>
  <c r="C68" i="5"/>
  <c r="A69" i="4"/>
  <c r="B68" i="4"/>
  <c r="C68" i="4"/>
  <c r="A69" i="3"/>
  <c r="B68" i="3"/>
  <c r="C68" i="3"/>
  <c r="A70" i="5" l="1"/>
  <c r="B69" i="5"/>
  <c r="C69" i="5"/>
  <c r="A70" i="4"/>
  <c r="B69" i="4"/>
  <c r="C69" i="4"/>
  <c r="A70" i="3"/>
  <c r="B69" i="3"/>
  <c r="C69" i="3"/>
  <c r="B70" i="5" l="1"/>
  <c r="A71" i="5"/>
  <c r="C70" i="5"/>
  <c r="B70" i="4"/>
  <c r="A71" i="4"/>
  <c r="C70" i="4"/>
  <c r="B70" i="3"/>
  <c r="A71" i="3"/>
  <c r="C70" i="3"/>
  <c r="B71" i="5" l="1"/>
  <c r="A72" i="5"/>
  <c r="C71" i="5"/>
  <c r="A72" i="4"/>
  <c r="B71" i="4"/>
  <c r="C71" i="4"/>
  <c r="B71" i="3"/>
  <c r="A72" i="3"/>
  <c r="C71" i="3"/>
  <c r="A73" i="5" l="1"/>
  <c r="B72" i="5"/>
  <c r="C72" i="5"/>
  <c r="A73" i="4"/>
  <c r="B72" i="4"/>
  <c r="C72" i="4"/>
  <c r="A73" i="3"/>
  <c r="B72" i="3"/>
  <c r="C72" i="3"/>
  <c r="A74" i="5" l="1"/>
  <c r="B73" i="5"/>
  <c r="C73" i="5"/>
  <c r="B73" i="4"/>
  <c r="A74" i="4"/>
  <c r="C73" i="4"/>
  <c r="A74" i="3"/>
  <c r="B73" i="3"/>
  <c r="C73" i="3"/>
  <c r="B74" i="5" l="1"/>
  <c r="A75" i="5"/>
  <c r="C74" i="5"/>
  <c r="B74" i="4"/>
  <c r="A75" i="4"/>
  <c r="C74" i="4"/>
  <c r="B74" i="3"/>
  <c r="A75" i="3"/>
  <c r="C74" i="3"/>
  <c r="B75" i="5" l="1"/>
  <c r="A76" i="5"/>
  <c r="C75" i="5"/>
  <c r="B75" i="4"/>
  <c r="A76" i="4"/>
  <c r="C75" i="4"/>
  <c r="B75" i="3"/>
  <c r="A76" i="3"/>
  <c r="C75" i="3"/>
  <c r="A77" i="5" l="1"/>
  <c r="B76" i="5"/>
  <c r="C76" i="5"/>
  <c r="A77" i="4"/>
  <c r="B76" i="4"/>
  <c r="C76" i="4"/>
  <c r="A77" i="3"/>
  <c r="B76" i="3"/>
  <c r="C76" i="3"/>
  <c r="A78" i="5" l="1"/>
  <c r="B77" i="5"/>
  <c r="C77" i="5"/>
  <c r="B77" i="4"/>
  <c r="A78" i="4"/>
  <c r="C77" i="4"/>
  <c r="A78" i="3"/>
  <c r="B77" i="3"/>
  <c r="C77" i="3"/>
  <c r="B78" i="5" l="1"/>
  <c r="A79" i="5"/>
  <c r="C78" i="5"/>
  <c r="B78" i="4"/>
  <c r="A79" i="4"/>
  <c r="C78" i="4"/>
  <c r="B78" i="3"/>
  <c r="A79" i="3"/>
  <c r="C78" i="3"/>
  <c r="B79" i="5" l="1"/>
  <c r="A80" i="5"/>
  <c r="C79" i="5"/>
  <c r="A80" i="4"/>
  <c r="B79" i="4"/>
  <c r="C79" i="4"/>
  <c r="B79" i="3"/>
  <c r="A80" i="3"/>
  <c r="C79" i="3"/>
  <c r="A81" i="5" l="1"/>
  <c r="B80" i="5"/>
  <c r="C80" i="5"/>
  <c r="A81" i="4"/>
  <c r="B80" i="4"/>
  <c r="C80" i="4"/>
  <c r="A81" i="3"/>
  <c r="B80" i="3"/>
  <c r="C80" i="3"/>
  <c r="A82" i="5" l="1"/>
  <c r="B81" i="5"/>
  <c r="C81" i="5"/>
  <c r="A82" i="4"/>
  <c r="B81" i="4"/>
  <c r="C81" i="4"/>
  <c r="A82" i="3"/>
  <c r="B81" i="3"/>
  <c r="C81" i="3"/>
  <c r="B82" i="5" l="1"/>
  <c r="A83" i="5"/>
  <c r="C82" i="5"/>
  <c r="B82" i="4"/>
  <c r="A83" i="4"/>
  <c r="C82" i="4"/>
  <c r="B82" i="3"/>
  <c r="A83" i="3"/>
  <c r="C82" i="3"/>
  <c r="B83" i="5" l="1"/>
  <c r="A84" i="5"/>
  <c r="C83" i="5"/>
  <c r="B83" i="4"/>
  <c r="A84" i="4"/>
  <c r="C83" i="4"/>
  <c r="B83" i="3"/>
  <c r="A84" i="3"/>
  <c r="C83" i="3"/>
  <c r="A85" i="5" l="1"/>
  <c r="B84" i="5"/>
  <c r="C84" i="5"/>
  <c r="A85" i="4"/>
  <c r="B84" i="4"/>
  <c r="C84" i="4"/>
  <c r="A85" i="3"/>
  <c r="B84" i="3"/>
  <c r="C84" i="3"/>
  <c r="A86" i="5" l="1"/>
  <c r="B85" i="5"/>
  <c r="C85" i="5"/>
  <c r="A86" i="4"/>
  <c r="B85" i="4"/>
  <c r="C85" i="4"/>
  <c r="A86" i="3"/>
  <c r="B85" i="3"/>
  <c r="C85" i="3"/>
  <c r="B86" i="5" l="1"/>
  <c r="A87" i="5"/>
  <c r="C86" i="5"/>
  <c r="B86" i="4"/>
  <c r="A87" i="4"/>
  <c r="C86" i="4"/>
  <c r="B86" i="3"/>
  <c r="A87" i="3"/>
  <c r="C86" i="3"/>
  <c r="B87" i="5" l="1"/>
  <c r="A88" i="5"/>
  <c r="C87" i="5"/>
  <c r="A88" i="4"/>
  <c r="B87" i="4"/>
  <c r="C87" i="4"/>
  <c r="B87" i="3"/>
  <c r="A88" i="3"/>
  <c r="C87" i="3"/>
  <c r="A89" i="5" l="1"/>
  <c r="B88" i="5"/>
  <c r="C88" i="5"/>
  <c r="A89" i="4"/>
  <c r="B88" i="4"/>
  <c r="C88" i="4"/>
  <c r="A89" i="3"/>
  <c r="B88" i="3"/>
  <c r="C88" i="3"/>
  <c r="A90" i="5" l="1"/>
  <c r="B89" i="5"/>
  <c r="C89" i="5"/>
  <c r="B89" i="4"/>
  <c r="A90" i="4"/>
  <c r="C89" i="4"/>
  <c r="A90" i="3"/>
  <c r="B89" i="3"/>
  <c r="C89" i="3"/>
  <c r="B90" i="5" l="1"/>
  <c r="A91" i="5"/>
  <c r="C90" i="5"/>
  <c r="B90" i="4"/>
  <c r="A91" i="4"/>
  <c r="C90" i="4"/>
  <c r="B90" i="3"/>
  <c r="A91" i="3"/>
  <c r="C90" i="3"/>
  <c r="B91" i="5" l="1"/>
  <c r="A92" i="5"/>
  <c r="C91" i="5"/>
  <c r="B91" i="4"/>
  <c r="A92" i="4"/>
  <c r="C91" i="4"/>
  <c r="B91" i="3"/>
  <c r="A92" i="3"/>
  <c r="C91" i="3"/>
  <c r="A93" i="5" l="1"/>
  <c r="B92" i="5"/>
  <c r="C92" i="5"/>
  <c r="A93" i="4"/>
  <c r="B92" i="4"/>
  <c r="C92" i="4"/>
  <c r="A93" i="3"/>
  <c r="B92" i="3"/>
  <c r="C92" i="3"/>
  <c r="A94" i="5" l="1"/>
  <c r="B93" i="5"/>
  <c r="C93" i="5"/>
  <c r="B93" i="4"/>
  <c r="A94" i="4"/>
  <c r="C93" i="4"/>
  <c r="A94" i="3"/>
  <c r="B93" i="3"/>
  <c r="C93" i="3"/>
  <c r="B94" i="5" l="1"/>
  <c r="A95" i="5"/>
  <c r="C94" i="5"/>
  <c r="B94" i="4"/>
  <c r="A95" i="4"/>
  <c r="C94" i="4"/>
  <c r="B94" i="3"/>
  <c r="A95" i="3"/>
  <c r="C94" i="3"/>
  <c r="B95" i="5" l="1"/>
  <c r="A96" i="5"/>
  <c r="C95" i="5"/>
  <c r="B95" i="4"/>
  <c r="A96" i="4"/>
  <c r="C95" i="4"/>
  <c r="B95" i="3"/>
  <c r="A96" i="3"/>
  <c r="C95" i="3"/>
  <c r="A97" i="5" l="1"/>
  <c r="B96" i="5"/>
  <c r="C96" i="5"/>
  <c r="A97" i="4"/>
  <c r="B96" i="4"/>
  <c r="C96" i="4"/>
  <c r="A97" i="3"/>
  <c r="B96" i="3"/>
  <c r="C96" i="3"/>
  <c r="A98" i="5" l="1"/>
  <c r="B97" i="5"/>
  <c r="C97" i="5"/>
  <c r="A98" i="4"/>
  <c r="B97" i="4"/>
  <c r="C97" i="4"/>
  <c r="A98" i="3"/>
  <c r="B97" i="3"/>
  <c r="C97" i="3"/>
  <c r="B98" i="5" l="1"/>
  <c r="A99" i="5"/>
  <c r="C98" i="5"/>
  <c r="B98" i="4"/>
  <c r="A99" i="4"/>
  <c r="C98" i="4"/>
  <c r="B98" i="3"/>
  <c r="A99" i="3"/>
  <c r="C98" i="3"/>
  <c r="B99" i="5" l="1"/>
  <c r="A100" i="5"/>
  <c r="C99" i="5"/>
  <c r="B99" i="4"/>
  <c r="A100" i="4"/>
  <c r="C99" i="4"/>
  <c r="B99" i="3"/>
  <c r="A100" i="3"/>
  <c r="C99" i="3"/>
  <c r="A101" i="5" l="1"/>
  <c r="B100" i="5"/>
  <c r="C100" i="5"/>
  <c r="A101" i="4"/>
  <c r="B100" i="4"/>
  <c r="C100" i="4"/>
  <c r="A101" i="3"/>
  <c r="B100" i="3"/>
  <c r="C100" i="3"/>
  <c r="A102" i="5" l="1"/>
  <c r="B101" i="5"/>
  <c r="C101" i="5"/>
  <c r="A102" i="4"/>
  <c r="B101" i="4"/>
  <c r="C101" i="4"/>
  <c r="A102" i="3"/>
  <c r="B101" i="3"/>
  <c r="C101" i="3"/>
  <c r="B102" i="5" l="1"/>
  <c r="M2" i="5" s="1"/>
  <c r="A103" i="5"/>
  <c r="C102" i="5"/>
  <c r="B102" i="4"/>
  <c r="M2" i="4" s="1"/>
  <c r="A103" i="4"/>
  <c r="C102" i="4"/>
  <c r="B102" i="3"/>
  <c r="M2" i="3" s="1"/>
  <c r="A103" i="3"/>
  <c r="C102" i="3"/>
  <c r="G2" i="1"/>
  <c r="B103" i="5" l="1"/>
  <c r="C103" i="5"/>
  <c r="B103" i="4"/>
  <c r="C103" i="4"/>
  <c r="B103" i="3"/>
  <c r="C103" i="3"/>
</calcChain>
</file>

<file path=xl/sharedStrings.xml><?xml version="1.0" encoding="utf-8"?>
<sst xmlns="http://schemas.openxmlformats.org/spreadsheetml/2006/main" count="48" uniqueCount="12">
  <si>
    <t>v0</t>
  </si>
  <si>
    <t>a</t>
  </si>
  <si>
    <t>g</t>
  </si>
  <si>
    <t>s</t>
  </si>
  <si>
    <t>vy</t>
  </si>
  <si>
    <t>y</t>
  </si>
  <si>
    <t>шаг t</t>
  </si>
  <si>
    <t>x</t>
  </si>
  <si>
    <t xml:space="preserve"> t</t>
  </si>
  <si>
    <t>vx</t>
  </si>
  <si>
    <t>a radian</t>
  </si>
  <si>
    <t>время полета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</si>
</sst>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58</a:t>
            </a:r>
            <a:r>
              <a:rPr lang="en-US" baseline="0"/>
              <a:t> </a:t>
            </a:r>
            <a:r>
              <a:rPr lang="ru-RU" baseline="0"/>
              <a:t>град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задача!$B$2:$B$102</c:f>
              <c:numCache>
                <c:formatCode>General</c:formatCode>
                <c:ptCount val="101"/>
                <c:pt idx="0">
                  <c:v>0</c:v>
                </c:pt>
                <c:pt idx="1">
                  <c:v>36.68547127751701</c:v>
                </c:pt>
                <c:pt idx="2">
                  <c:v>73.37094255503402</c:v>
                </c:pt>
                <c:pt idx="3">
                  <c:v>110.05641383255104</c:v>
                </c:pt>
                <c:pt idx="4">
                  <c:v>146.74188511006804</c:v>
                </c:pt>
                <c:pt idx="5">
                  <c:v>183.42735638758506</c:v>
                </c:pt>
                <c:pt idx="6">
                  <c:v>220.11282766510209</c:v>
                </c:pt>
                <c:pt idx="7">
                  <c:v>256.79829894261906</c:v>
                </c:pt>
                <c:pt idx="8">
                  <c:v>293.48377022013608</c:v>
                </c:pt>
                <c:pt idx="9">
                  <c:v>330.16924149765316</c:v>
                </c:pt>
                <c:pt idx="10">
                  <c:v>366.85471277517019</c:v>
                </c:pt>
                <c:pt idx="11">
                  <c:v>403.54018405268721</c:v>
                </c:pt>
                <c:pt idx="12">
                  <c:v>440.22565533020423</c:v>
                </c:pt>
                <c:pt idx="13">
                  <c:v>476.91112660772126</c:v>
                </c:pt>
                <c:pt idx="14">
                  <c:v>513.59659788523834</c:v>
                </c:pt>
                <c:pt idx="15">
                  <c:v>550.28206916275531</c:v>
                </c:pt>
                <c:pt idx="16">
                  <c:v>586.96754044027239</c:v>
                </c:pt>
                <c:pt idx="17">
                  <c:v>623.65301171778947</c:v>
                </c:pt>
                <c:pt idx="18">
                  <c:v>660.33848299530644</c:v>
                </c:pt>
                <c:pt idx="19">
                  <c:v>697.02395427282352</c:v>
                </c:pt>
                <c:pt idx="20">
                  <c:v>733.70942555034048</c:v>
                </c:pt>
                <c:pt idx="21">
                  <c:v>770.39489682785756</c:v>
                </c:pt>
                <c:pt idx="22">
                  <c:v>807.08036810537465</c:v>
                </c:pt>
                <c:pt idx="23">
                  <c:v>843.76583938289161</c:v>
                </c:pt>
                <c:pt idx="24">
                  <c:v>880.45131066040869</c:v>
                </c:pt>
                <c:pt idx="25">
                  <c:v>917.13678193792566</c:v>
                </c:pt>
                <c:pt idx="26">
                  <c:v>953.82225321544274</c:v>
                </c:pt>
                <c:pt idx="27">
                  <c:v>990.50772449295982</c:v>
                </c:pt>
                <c:pt idx="28">
                  <c:v>1027.1931957704769</c:v>
                </c:pt>
                <c:pt idx="29">
                  <c:v>1063.8786670479938</c:v>
                </c:pt>
                <c:pt idx="30">
                  <c:v>1100.5641383255108</c:v>
                </c:pt>
                <c:pt idx="31">
                  <c:v>1137.2496096030279</c:v>
                </c:pt>
                <c:pt idx="32">
                  <c:v>1173.935080880545</c:v>
                </c:pt>
                <c:pt idx="33">
                  <c:v>1210.6205521580621</c:v>
                </c:pt>
                <c:pt idx="34">
                  <c:v>1247.3060234355789</c:v>
                </c:pt>
                <c:pt idx="35">
                  <c:v>1283.991494713096</c:v>
                </c:pt>
                <c:pt idx="36">
                  <c:v>1320.6769659906131</c:v>
                </c:pt>
                <c:pt idx="37">
                  <c:v>1357.3624372681302</c:v>
                </c:pt>
                <c:pt idx="38">
                  <c:v>1394.0479085456473</c:v>
                </c:pt>
                <c:pt idx="39">
                  <c:v>1430.7333798231641</c:v>
                </c:pt>
                <c:pt idx="40">
                  <c:v>1467.4188511006812</c:v>
                </c:pt>
                <c:pt idx="41">
                  <c:v>1504.1043223781983</c:v>
                </c:pt>
                <c:pt idx="42">
                  <c:v>1540.7897936557154</c:v>
                </c:pt>
                <c:pt idx="43">
                  <c:v>1577.4752649332324</c:v>
                </c:pt>
                <c:pt idx="44">
                  <c:v>1614.1607362107493</c:v>
                </c:pt>
                <c:pt idx="45">
                  <c:v>1650.8462074882664</c:v>
                </c:pt>
                <c:pt idx="46">
                  <c:v>1687.5316787657835</c:v>
                </c:pt>
                <c:pt idx="47">
                  <c:v>1724.2171500433005</c:v>
                </c:pt>
                <c:pt idx="48">
                  <c:v>1760.9026213208174</c:v>
                </c:pt>
                <c:pt idx="49">
                  <c:v>1797.5880925983342</c:v>
                </c:pt>
                <c:pt idx="50">
                  <c:v>1834.2735638758511</c:v>
                </c:pt>
                <c:pt idx="51">
                  <c:v>1870.9590351533679</c:v>
                </c:pt>
                <c:pt idx="52">
                  <c:v>1907.6445064308848</c:v>
                </c:pt>
                <c:pt idx="53">
                  <c:v>1944.3299777084017</c:v>
                </c:pt>
                <c:pt idx="54">
                  <c:v>1981.0154489859185</c:v>
                </c:pt>
                <c:pt idx="55">
                  <c:v>2017.7009202634354</c:v>
                </c:pt>
                <c:pt idx="56">
                  <c:v>2054.386391540952</c:v>
                </c:pt>
                <c:pt idx="57">
                  <c:v>2091.0718628184691</c:v>
                </c:pt>
                <c:pt idx="58">
                  <c:v>2127.7573340959857</c:v>
                </c:pt>
                <c:pt idx="59">
                  <c:v>2164.4428053735028</c:v>
                </c:pt>
                <c:pt idx="60">
                  <c:v>2201.1282766510194</c:v>
                </c:pt>
                <c:pt idx="61">
                  <c:v>2237.8137479285365</c:v>
                </c:pt>
                <c:pt idx="62">
                  <c:v>2274.4992192060531</c:v>
                </c:pt>
                <c:pt idx="63">
                  <c:v>2311.1846904835702</c:v>
                </c:pt>
                <c:pt idx="64">
                  <c:v>2347.8701617610868</c:v>
                </c:pt>
                <c:pt idx="65">
                  <c:v>2384.5556330386039</c:v>
                </c:pt>
                <c:pt idx="66">
                  <c:v>2421.2411043161205</c:v>
                </c:pt>
                <c:pt idx="67">
                  <c:v>2457.9265755936376</c:v>
                </c:pt>
                <c:pt idx="68">
                  <c:v>2494.6120468711542</c:v>
                </c:pt>
                <c:pt idx="69">
                  <c:v>2531.2975181486713</c:v>
                </c:pt>
                <c:pt idx="70">
                  <c:v>2567.9829894261879</c:v>
                </c:pt>
                <c:pt idx="71">
                  <c:v>2604.668460703705</c:v>
                </c:pt>
                <c:pt idx="72">
                  <c:v>2641.3539319812216</c:v>
                </c:pt>
                <c:pt idx="73">
                  <c:v>2678.0394032587387</c:v>
                </c:pt>
                <c:pt idx="74">
                  <c:v>2714.7248745362554</c:v>
                </c:pt>
                <c:pt idx="75">
                  <c:v>2751.4103458137724</c:v>
                </c:pt>
                <c:pt idx="76">
                  <c:v>2788.0958170912891</c:v>
                </c:pt>
                <c:pt idx="77">
                  <c:v>2824.7812883688061</c:v>
                </c:pt>
                <c:pt idx="78">
                  <c:v>2861.4667596463228</c:v>
                </c:pt>
                <c:pt idx="79">
                  <c:v>2898.1522309238399</c:v>
                </c:pt>
                <c:pt idx="80">
                  <c:v>2934.8377022013565</c:v>
                </c:pt>
                <c:pt idx="81">
                  <c:v>2971.5231734788731</c:v>
                </c:pt>
                <c:pt idx="82">
                  <c:v>3008.2086447563902</c:v>
                </c:pt>
                <c:pt idx="83">
                  <c:v>3044.8941160339068</c:v>
                </c:pt>
                <c:pt idx="84">
                  <c:v>3081.5795873114239</c:v>
                </c:pt>
                <c:pt idx="85">
                  <c:v>3118.2650585889405</c:v>
                </c:pt>
                <c:pt idx="86">
                  <c:v>3154.9505298664576</c:v>
                </c:pt>
                <c:pt idx="87">
                  <c:v>3191.6360011439742</c:v>
                </c:pt>
                <c:pt idx="88">
                  <c:v>3228.3214724214913</c:v>
                </c:pt>
                <c:pt idx="89">
                  <c:v>3265.0069436990079</c:v>
                </c:pt>
                <c:pt idx="90">
                  <c:v>3301.692414976525</c:v>
                </c:pt>
                <c:pt idx="91">
                  <c:v>3338.3778862540416</c:v>
                </c:pt>
                <c:pt idx="92">
                  <c:v>3375.0633575315587</c:v>
                </c:pt>
                <c:pt idx="93">
                  <c:v>3411.7488288090753</c:v>
                </c:pt>
                <c:pt idx="94">
                  <c:v>3448.4343000865929</c:v>
                </c:pt>
                <c:pt idx="95">
                  <c:v>3485.11977136411</c:v>
                </c:pt>
                <c:pt idx="96">
                  <c:v>3521.805242641627</c:v>
                </c:pt>
                <c:pt idx="97">
                  <c:v>3558.4907139191446</c:v>
                </c:pt>
                <c:pt idx="98">
                  <c:v>3595.1761851966617</c:v>
                </c:pt>
                <c:pt idx="99">
                  <c:v>3631.8616564741787</c:v>
                </c:pt>
                <c:pt idx="100">
                  <c:v>3668.5471277516963</c:v>
                </c:pt>
              </c:numCache>
            </c:numRef>
          </c:xVal>
          <c:yVal>
            <c:numRef>
              <c:f>задача!$C$2:$C$102</c:f>
              <c:numCache>
                <c:formatCode>General</c:formatCode>
                <c:ptCount val="101"/>
                <c:pt idx="0">
                  <c:v>0</c:v>
                </c:pt>
                <c:pt idx="1">
                  <c:v>58.121936135558627</c:v>
                </c:pt>
                <c:pt idx="2">
                  <c:v>115.06969174312617</c:v>
                </c:pt>
                <c:pt idx="3">
                  <c:v>170.84326682270262</c:v>
                </c:pt>
                <c:pt idx="4">
                  <c:v>225.44266137428801</c:v>
                </c:pt>
                <c:pt idx="5">
                  <c:v>278.8678753978823</c:v>
                </c:pt>
                <c:pt idx="6">
                  <c:v>331.11890889348552</c:v>
                </c:pt>
                <c:pt idx="7">
                  <c:v>382.19576186109759</c:v>
                </c:pt>
                <c:pt idx="8">
                  <c:v>432.09843430071868</c:v>
                </c:pt>
                <c:pt idx="9">
                  <c:v>480.82692621234872</c:v>
                </c:pt>
                <c:pt idx="10">
                  <c:v>528.38123759598761</c:v>
                </c:pt>
                <c:pt idx="11">
                  <c:v>574.76136845163546</c:v>
                </c:pt>
                <c:pt idx="12">
                  <c:v>619.96731877929221</c:v>
                </c:pt>
                <c:pt idx="13">
                  <c:v>663.99908857895787</c:v>
                </c:pt>
                <c:pt idx="14">
                  <c:v>706.85667785063242</c:v>
                </c:pt>
                <c:pt idx="15">
                  <c:v>748.54008659431588</c:v>
                </c:pt>
                <c:pt idx="16">
                  <c:v>789.04931481000824</c:v>
                </c:pt>
                <c:pt idx="17">
                  <c:v>828.38436249770962</c:v>
                </c:pt>
                <c:pt idx="18">
                  <c:v>866.54522965741978</c:v>
                </c:pt>
                <c:pt idx="19">
                  <c:v>903.53191628913896</c:v>
                </c:pt>
                <c:pt idx="20">
                  <c:v>939.34442239286705</c:v>
                </c:pt>
                <c:pt idx="21">
                  <c:v>973.98274796860392</c:v>
                </c:pt>
                <c:pt idx="22">
                  <c:v>1007.4468930163498</c:v>
                </c:pt>
                <c:pt idx="23">
                  <c:v>1039.7368575361047</c:v>
                </c:pt>
                <c:pt idx="24">
                  <c:v>1070.8526415278684</c:v>
                </c:pt>
                <c:pt idx="25">
                  <c:v>1100.7942449916411</c:v>
                </c:pt>
                <c:pt idx="26">
                  <c:v>1129.5616679274226</c:v>
                </c:pt>
                <c:pt idx="27">
                  <c:v>1157.1549103352131</c:v>
                </c:pt>
                <c:pt idx="28">
                  <c:v>1183.5739722150124</c:v>
                </c:pt>
                <c:pt idx="29">
                  <c:v>1208.8188535668207</c:v>
                </c:pt>
                <c:pt idx="30">
                  <c:v>1232.8895543906378</c:v>
                </c:pt>
                <c:pt idx="31">
                  <c:v>1255.786074686464</c:v>
                </c:pt>
                <c:pt idx="32">
                  <c:v>1277.5084144542991</c:v>
                </c:pt>
                <c:pt idx="33">
                  <c:v>1298.056573694143</c:v>
                </c:pt>
                <c:pt idx="34">
                  <c:v>1317.430552405996</c:v>
                </c:pt>
                <c:pt idx="35">
                  <c:v>1335.6303505898579</c:v>
                </c:pt>
                <c:pt idx="36">
                  <c:v>1352.6559682457287</c:v>
                </c:pt>
                <c:pt idx="37">
                  <c:v>1368.5074053736082</c:v>
                </c:pt>
                <c:pt idx="38">
                  <c:v>1383.1846619734968</c:v>
                </c:pt>
                <c:pt idx="39">
                  <c:v>1396.6877380453943</c:v>
                </c:pt>
                <c:pt idx="40">
                  <c:v>1409.0166335893005</c:v>
                </c:pt>
                <c:pt idx="41">
                  <c:v>1420.1713486052158</c:v>
                </c:pt>
                <c:pt idx="42">
                  <c:v>1430.15188309314</c:v>
                </c:pt>
                <c:pt idx="43">
                  <c:v>1438.9582370530732</c:v>
                </c:pt>
                <c:pt idx="44">
                  <c:v>1446.5904104850151</c:v>
                </c:pt>
                <c:pt idx="45">
                  <c:v>1453.0484033889661</c:v>
                </c:pt>
                <c:pt idx="46">
                  <c:v>1458.3322157649259</c:v>
                </c:pt>
                <c:pt idx="47">
                  <c:v>1462.4418476128947</c:v>
                </c:pt>
                <c:pt idx="48">
                  <c:v>1465.3772989328722</c:v>
                </c:pt>
                <c:pt idx="49">
                  <c:v>1467.1385697248588</c:v>
                </c:pt>
                <c:pt idx="50">
                  <c:v>1467.7256599888544</c:v>
                </c:pt>
                <c:pt idx="51">
                  <c:v>1467.1385697248588</c:v>
                </c:pt>
                <c:pt idx="52">
                  <c:v>1465.377298932872</c:v>
                </c:pt>
                <c:pt idx="53">
                  <c:v>1462.4418476128947</c:v>
                </c:pt>
                <c:pt idx="54">
                  <c:v>1458.3322157649256</c:v>
                </c:pt>
                <c:pt idx="55">
                  <c:v>1453.0484033889661</c:v>
                </c:pt>
                <c:pt idx="56">
                  <c:v>1446.5904104850151</c:v>
                </c:pt>
                <c:pt idx="57">
                  <c:v>1438.9582370530729</c:v>
                </c:pt>
                <c:pt idx="58">
                  <c:v>1430.1518830931402</c:v>
                </c:pt>
                <c:pt idx="59">
                  <c:v>1420.1713486052158</c:v>
                </c:pt>
                <c:pt idx="60">
                  <c:v>1409.0166335893005</c:v>
                </c:pt>
                <c:pt idx="61">
                  <c:v>1396.6877380453943</c:v>
                </c:pt>
                <c:pt idx="62">
                  <c:v>1383.184661973497</c:v>
                </c:pt>
                <c:pt idx="63">
                  <c:v>1368.5074053736084</c:v>
                </c:pt>
                <c:pt idx="64">
                  <c:v>1352.6559682457296</c:v>
                </c:pt>
                <c:pt idx="65">
                  <c:v>1335.6303505898586</c:v>
                </c:pt>
                <c:pt idx="66">
                  <c:v>1317.4305524059969</c:v>
                </c:pt>
                <c:pt idx="67">
                  <c:v>1298.0565736941444</c:v>
                </c:pt>
                <c:pt idx="68">
                  <c:v>1277.5084144543007</c:v>
                </c:pt>
                <c:pt idx="69">
                  <c:v>1255.7860746864653</c:v>
                </c:pt>
                <c:pt idx="70">
                  <c:v>1232.8895543906392</c:v>
                </c:pt>
                <c:pt idx="71">
                  <c:v>1208.8188535668228</c:v>
                </c:pt>
                <c:pt idx="72">
                  <c:v>1183.5739722150147</c:v>
                </c:pt>
                <c:pt idx="73">
                  <c:v>1157.1549103352149</c:v>
                </c:pt>
                <c:pt idx="74">
                  <c:v>1129.5616679274249</c:v>
                </c:pt>
                <c:pt idx="75">
                  <c:v>1100.7942449916441</c:v>
                </c:pt>
                <c:pt idx="76">
                  <c:v>1070.8526415278716</c:v>
                </c:pt>
                <c:pt idx="77">
                  <c:v>1039.7368575361079</c:v>
                </c:pt>
                <c:pt idx="78">
                  <c:v>1007.4468930163539</c:v>
                </c:pt>
                <c:pt idx="79">
                  <c:v>973.98274796860778</c:v>
                </c:pt>
                <c:pt idx="80">
                  <c:v>939.34442239287182</c:v>
                </c:pt>
                <c:pt idx="81">
                  <c:v>903.53191628914374</c:v>
                </c:pt>
                <c:pt idx="82">
                  <c:v>866.54522965742444</c:v>
                </c:pt>
                <c:pt idx="83">
                  <c:v>828.3843624977153</c:v>
                </c:pt>
                <c:pt idx="84">
                  <c:v>789.04931481001404</c:v>
                </c:pt>
                <c:pt idx="85">
                  <c:v>748.54008659432111</c:v>
                </c:pt>
                <c:pt idx="86">
                  <c:v>706.85667785063924</c:v>
                </c:pt>
                <c:pt idx="87">
                  <c:v>663.9990885789648</c:v>
                </c:pt>
                <c:pt idx="88">
                  <c:v>619.96731877929869</c:v>
                </c:pt>
                <c:pt idx="89">
                  <c:v>574.76136845164274</c:v>
                </c:pt>
                <c:pt idx="90">
                  <c:v>528.38123759599603</c:v>
                </c:pt>
                <c:pt idx="91">
                  <c:v>480.82692621235765</c:v>
                </c:pt>
                <c:pt idx="92">
                  <c:v>432.0984343007276</c:v>
                </c:pt>
                <c:pt idx="93">
                  <c:v>382.19576186110771</c:v>
                </c:pt>
                <c:pt idx="94">
                  <c:v>331.11890889349434</c:v>
                </c:pt>
                <c:pt idx="95">
                  <c:v>278.86787539789202</c:v>
                </c:pt>
                <c:pt idx="96">
                  <c:v>225.44266137429713</c:v>
                </c:pt>
                <c:pt idx="97">
                  <c:v>170.84326682271239</c:v>
                </c:pt>
                <c:pt idx="98">
                  <c:v>115.06969174313599</c:v>
                </c:pt>
                <c:pt idx="99">
                  <c:v>58.121936135567921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4-4427-B597-807848BC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985904"/>
        <c:axId val="1085000880"/>
      </c:scatterChart>
      <c:valAx>
        <c:axId val="108498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x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2591535433070871"/>
              <c:y val="0.70911079739151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000880"/>
        <c:crosses val="autoZero"/>
        <c:crossBetween val="midCat"/>
      </c:valAx>
      <c:valAx>
        <c:axId val="10850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y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4444444444444443"/>
              <c:y val="0.14340792497855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498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 </a:t>
            </a:r>
            <a:r>
              <a:rPr lang="ru-RU"/>
              <a:t>град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'45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40.816326530612237</c:v>
                </c:pt>
                <c:pt idx="2">
                  <c:v>81.632653061224474</c:v>
                </c:pt>
                <c:pt idx="3">
                  <c:v>122.4489795918367</c:v>
                </c:pt>
                <c:pt idx="4">
                  <c:v>163.26530612244895</c:v>
                </c:pt>
                <c:pt idx="5">
                  <c:v>204.08163265306118</c:v>
                </c:pt>
                <c:pt idx="6">
                  <c:v>244.89795918367344</c:v>
                </c:pt>
                <c:pt idx="7">
                  <c:v>285.71428571428567</c:v>
                </c:pt>
                <c:pt idx="8">
                  <c:v>326.53061224489795</c:v>
                </c:pt>
                <c:pt idx="9">
                  <c:v>367.34693877551018</c:v>
                </c:pt>
                <c:pt idx="10">
                  <c:v>408.16326530612241</c:v>
                </c:pt>
                <c:pt idx="11">
                  <c:v>448.9795918367347</c:v>
                </c:pt>
                <c:pt idx="12">
                  <c:v>489.79591836734693</c:v>
                </c:pt>
                <c:pt idx="13">
                  <c:v>530.61224489795916</c:v>
                </c:pt>
                <c:pt idx="14">
                  <c:v>571.42857142857133</c:v>
                </c:pt>
                <c:pt idx="15">
                  <c:v>612.2448979591835</c:v>
                </c:pt>
                <c:pt idx="16">
                  <c:v>653.06122448979579</c:v>
                </c:pt>
                <c:pt idx="17">
                  <c:v>693.87755102040796</c:v>
                </c:pt>
                <c:pt idx="18">
                  <c:v>734.69387755102014</c:v>
                </c:pt>
                <c:pt idx="19">
                  <c:v>775.51020408163231</c:v>
                </c:pt>
                <c:pt idx="20">
                  <c:v>816.32653061224448</c:v>
                </c:pt>
                <c:pt idx="21">
                  <c:v>857.14285714285666</c:v>
                </c:pt>
                <c:pt idx="22">
                  <c:v>897.95918367346883</c:v>
                </c:pt>
                <c:pt idx="23">
                  <c:v>938.775510204081</c:v>
                </c:pt>
                <c:pt idx="24">
                  <c:v>979.59183673469317</c:v>
                </c:pt>
                <c:pt idx="25">
                  <c:v>1020.4081632653055</c:v>
                </c:pt>
                <c:pt idx="26">
                  <c:v>1061.2244897959176</c:v>
                </c:pt>
                <c:pt idx="27">
                  <c:v>1102.0408163265297</c:v>
                </c:pt>
                <c:pt idx="28">
                  <c:v>1142.857142857142</c:v>
                </c:pt>
                <c:pt idx="29">
                  <c:v>1183.6734693877543</c:v>
                </c:pt>
                <c:pt idx="30">
                  <c:v>1224.4897959183663</c:v>
                </c:pt>
                <c:pt idx="31">
                  <c:v>1265.3061224489786</c:v>
                </c:pt>
                <c:pt idx="32">
                  <c:v>1306.1224489795907</c:v>
                </c:pt>
                <c:pt idx="33">
                  <c:v>1346.938775510203</c:v>
                </c:pt>
                <c:pt idx="34">
                  <c:v>1387.755102040815</c:v>
                </c:pt>
                <c:pt idx="35">
                  <c:v>1428.5714285714273</c:v>
                </c:pt>
                <c:pt idx="36">
                  <c:v>1469.3877551020394</c:v>
                </c:pt>
                <c:pt idx="37">
                  <c:v>1510.2040816326517</c:v>
                </c:pt>
                <c:pt idx="38">
                  <c:v>1551.0204081632639</c:v>
                </c:pt>
                <c:pt idx="39">
                  <c:v>1591.836734693876</c:v>
                </c:pt>
                <c:pt idx="40">
                  <c:v>1632.6530612244883</c:v>
                </c:pt>
                <c:pt idx="41">
                  <c:v>1673.4693877551003</c:v>
                </c:pt>
                <c:pt idx="42">
                  <c:v>1714.2857142857126</c:v>
                </c:pt>
                <c:pt idx="43">
                  <c:v>1755.1020408163247</c:v>
                </c:pt>
                <c:pt idx="44">
                  <c:v>1795.918367346937</c:v>
                </c:pt>
                <c:pt idx="45">
                  <c:v>1836.734693877549</c:v>
                </c:pt>
                <c:pt idx="46">
                  <c:v>1877.5510204081613</c:v>
                </c:pt>
                <c:pt idx="47">
                  <c:v>1918.3673469387736</c:v>
                </c:pt>
                <c:pt idx="48">
                  <c:v>1959.1836734693857</c:v>
                </c:pt>
                <c:pt idx="49">
                  <c:v>1999.999999999998</c:v>
                </c:pt>
                <c:pt idx="50">
                  <c:v>2040.81632653061</c:v>
                </c:pt>
                <c:pt idx="51">
                  <c:v>2081.6326530612223</c:v>
                </c:pt>
                <c:pt idx="52">
                  <c:v>2122.4489795918344</c:v>
                </c:pt>
                <c:pt idx="53">
                  <c:v>2163.2653061224464</c:v>
                </c:pt>
                <c:pt idx="54">
                  <c:v>2204.0816326530589</c:v>
                </c:pt>
                <c:pt idx="55">
                  <c:v>2244.897959183671</c:v>
                </c:pt>
                <c:pt idx="56">
                  <c:v>2285.7142857142835</c:v>
                </c:pt>
                <c:pt idx="57">
                  <c:v>2326.5306122448956</c:v>
                </c:pt>
                <c:pt idx="58">
                  <c:v>2367.3469387755076</c:v>
                </c:pt>
                <c:pt idx="59">
                  <c:v>2408.1632653061201</c:v>
                </c:pt>
                <c:pt idx="60">
                  <c:v>2448.9795918367322</c:v>
                </c:pt>
                <c:pt idx="61">
                  <c:v>2489.7959183673443</c:v>
                </c:pt>
                <c:pt idx="62">
                  <c:v>2530.6122448979568</c:v>
                </c:pt>
                <c:pt idx="63">
                  <c:v>2571.4285714285688</c:v>
                </c:pt>
                <c:pt idx="64">
                  <c:v>2612.2448979591809</c:v>
                </c:pt>
                <c:pt idx="65">
                  <c:v>2653.0612244897929</c:v>
                </c:pt>
                <c:pt idx="66">
                  <c:v>2693.8775510204055</c:v>
                </c:pt>
                <c:pt idx="67">
                  <c:v>2734.6938775510175</c:v>
                </c:pt>
                <c:pt idx="68">
                  <c:v>2775.5102040816296</c:v>
                </c:pt>
                <c:pt idx="69">
                  <c:v>2816.3265306122416</c:v>
                </c:pt>
                <c:pt idx="70">
                  <c:v>2857.1428571428542</c:v>
                </c:pt>
                <c:pt idx="71">
                  <c:v>2897.9591836734662</c:v>
                </c:pt>
                <c:pt idx="72">
                  <c:v>2938.7755102040783</c:v>
                </c:pt>
                <c:pt idx="73">
                  <c:v>2979.5918367346908</c:v>
                </c:pt>
                <c:pt idx="74">
                  <c:v>3020.4081632653028</c:v>
                </c:pt>
                <c:pt idx="75">
                  <c:v>3061.2244897959149</c:v>
                </c:pt>
                <c:pt idx="76">
                  <c:v>3102.040816326527</c:v>
                </c:pt>
                <c:pt idx="77">
                  <c:v>3142.8571428571395</c:v>
                </c:pt>
                <c:pt idx="78">
                  <c:v>3183.6734693877515</c:v>
                </c:pt>
                <c:pt idx="79">
                  <c:v>3224.4897959183636</c:v>
                </c:pt>
                <c:pt idx="80">
                  <c:v>3265.3061224489761</c:v>
                </c:pt>
                <c:pt idx="81">
                  <c:v>3306.1224489795882</c:v>
                </c:pt>
                <c:pt idx="82">
                  <c:v>3346.9387755102002</c:v>
                </c:pt>
                <c:pt idx="83">
                  <c:v>3387.7551020408123</c:v>
                </c:pt>
                <c:pt idx="84">
                  <c:v>3428.5714285714248</c:v>
                </c:pt>
                <c:pt idx="85">
                  <c:v>3469.3877551020369</c:v>
                </c:pt>
                <c:pt idx="86">
                  <c:v>3510.2040816326489</c:v>
                </c:pt>
                <c:pt idx="87">
                  <c:v>3551.0204081632614</c:v>
                </c:pt>
                <c:pt idx="88">
                  <c:v>3591.8367346938735</c:v>
                </c:pt>
                <c:pt idx="89">
                  <c:v>3632.6530612244856</c:v>
                </c:pt>
                <c:pt idx="90">
                  <c:v>3673.4693877550976</c:v>
                </c:pt>
                <c:pt idx="91">
                  <c:v>3714.2857142857101</c:v>
                </c:pt>
                <c:pt idx="92">
                  <c:v>3755.1020408163222</c:v>
                </c:pt>
                <c:pt idx="93">
                  <c:v>3795.9183673469342</c:v>
                </c:pt>
                <c:pt idx="94">
                  <c:v>3836.7346938775463</c:v>
                </c:pt>
                <c:pt idx="95">
                  <c:v>3877.5510204081588</c:v>
                </c:pt>
                <c:pt idx="96">
                  <c:v>3918.3673469387709</c:v>
                </c:pt>
                <c:pt idx="97">
                  <c:v>3959.1836734693829</c:v>
                </c:pt>
                <c:pt idx="98">
                  <c:v>3999.9999999999955</c:v>
                </c:pt>
                <c:pt idx="99">
                  <c:v>4040.8163265306075</c:v>
                </c:pt>
                <c:pt idx="100">
                  <c:v>4081.6326530612196</c:v>
                </c:pt>
              </c:numCache>
            </c:numRef>
          </c:xVal>
          <c:yVal>
            <c:numRef>
              <c:f>'45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40.408163265306101</c:v>
                </c:pt>
                <c:pt idx="2">
                  <c:v>79.999999999999957</c:v>
                </c:pt>
                <c:pt idx="3">
                  <c:v>118.77551020408157</c:v>
                </c:pt>
                <c:pt idx="4">
                  <c:v>156.73469387755094</c:v>
                </c:pt>
                <c:pt idx="5">
                  <c:v>193.87755102040808</c:v>
                </c:pt>
                <c:pt idx="6">
                  <c:v>230.20408163265299</c:v>
                </c:pt>
                <c:pt idx="7">
                  <c:v>265.71428571428561</c:v>
                </c:pt>
                <c:pt idx="8">
                  <c:v>300.40816326530603</c:v>
                </c:pt>
                <c:pt idx="9">
                  <c:v>334.28571428571422</c:v>
                </c:pt>
                <c:pt idx="10">
                  <c:v>367.34693877551013</c:v>
                </c:pt>
                <c:pt idx="11">
                  <c:v>399.59183673469374</c:v>
                </c:pt>
                <c:pt idx="12">
                  <c:v>431.02040816326519</c:v>
                </c:pt>
                <c:pt idx="13">
                  <c:v>461.63265306122435</c:v>
                </c:pt>
                <c:pt idx="14">
                  <c:v>491.42857142857122</c:v>
                </c:pt>
                <c:pt idx="15">
                  <c:v>520.40816326530592</c:v>
                </c:pt>
                <c:pt idx="16">
                  <c:v>548.57142857142821</c:v>
                </c:pt>
                <c:pt idx="17">
                  <c:v>575.91836734693845</c:v>
                </c:pt>
                <c:pt idx="18">
                  <c:v>602.44897959183641</c:v>
                </c:pt>
                <c:pt idx="19">
                  <c:v>628.16326530612218</c:v>
                </c:pt>
                <c:pt idx="20">
                  <c:v>653.06122448979556</c:v>
                </c:pt>
                <c:pt idx="21">
                  <c:v>677.14285714285677</c:v>
                </c:pt>
                <c:pt idx="22">
                  <c:v>700.40816326530569</c:v>
                </c:pt>
                <c:pt idx="23">
                  <c:v>722.85714285714243</c:v>
                </c:pt>
                <c:pt idx="24">
                  <c:v>744.48979591836689</c:v>
                </c:pt>
                <c:pt idx="25">
                  <c:v>765.30612244897907</c:v>
                </c:pt>
                <c:pt idx="26">
                  <c:v>785.30612244897907</c:v>
                </c:pt>
                <c:pt idx="27">
                  <c:v>804.48979591836655</c:v>
                </c:pt>
                <c:pt idx="28">
                  <c:v>822.85714285714221</c:v>
                </c:pt>
                <c:pt idx="29">
                  <c:v>840.40816326530535</c:v>
                </c:pt>
                <c:pt idx="30">
                  <c:v>857.14285714285643</c:v>
                </c:pt>
                <c:pt idx="31">
                  <c:v>873.06122448979545</c:v>
                </c:pt>
                <c:pt idx="32">
                  <c:v>888.16326530612173</c:v>
                </c:pt>
                <c:pt idx="33">
                  <c:v>902.44897959183618</c:v>
                </c:pt>
                <c:pt idx="34">
                  <c:v>915.91836734693811</c:v>
                </c:pt>
                <c:pt idx="35">
                  <c:v>928.57142857142799</c:v>
                </c:pt>
                <c:pt idx="36">
                  <c:v>940.40816326530535</c:v>
                </c:pt>
                <c:pt idx="37">
                  <c:v>951.42857142857088</c:v>
                </c:pt>
                <c:pt idx="38">
                  <c:v>961.63265306122378</c:v>
                </c:pt>
                <c:pt idx="39">
                  <c:v>971.02040816326473</c:v>
                </c:pt>
                <c:pt idx="40">
                  <c:v>979.59183673469317</c:v>
                </c:pt>
                <c:pt idx="41">
                  <c:v>987.34693877550967</c:v>
                </c:pt>
                <c:pt idx="42">
                  <c:v>994.28571428571365</c:v>
                </c:pt>
                <c:pt idx="43">
                  <c:v>1000.4081632653056</c:v>
                </c:pt>
                <c:pt idx="44">
                  <c:v>1005.714285714285</c:v>
                </c:pt>
                <c:pt idx="45">
                  <c:v>1010.2040816326526</c:v>
                </c:pt>
                <c:pt idx="46">
                  <c:v>1013.8775510204076</c:v>
                </c:pt>
                <c:pt idx="47">
                  <c:v>1016.7346938775504</c:v>
                </c:pt>
                <c:pt idx="48">
                  <c:v>1018.775510204081</c:v>
                </c:pt>
                <c:pt idx="49">
                  <c:v>1019.9999999999995</c:v>
                </c:pt>
                <c:pt idx="50">
                  <c:v>1020.4081632653056</c:v>
                </c:pt>
                <c:pt idx="51">
                  <c:v>1019.9999999999995</c:v>
                </c:pt>
                <c:pt idx="52">
                  <c:v>1018.7755102040812</c:v>
                </c:pt>
                <c:pt idx="53">
                  <c:v>1016.7346938775509</c:v>
                </c:pt>
                <c:pt idx="54">
                  <c:v>1013.877551020408</c:v>
                </c:pt>
                <c:pt idx="55">
                  <c:v>1010.2040816326528</c:v>
                </c:pt>
                <c:pt idx="56">
                  <c:v>1005.7142857142856</c:v>
                </c:pt>
                <c:pt idx="57">
                  <c:v>1000.4081632653058</c:v>
                </c:pt>
                <c:pt idx="58">
                  <c:v>994.28571428571399</c:v>
                </c:pt>
                <c:pt idx="59">
                  <c:v>987.34693877551035</c:v>
                </c:pt>
                <c:pt idx="60">
                  <c:v>979.59183673469397</c:v>
                </c:pt>
                <c:pt idx="61">
                  <c:v>971.0204081632653</c:v>
                </c:pt>
                <c:pt idx="62">
                  <c:v>961.63265306122435</c:v>
                </c:pt>
                <c:pt idx="63">
                  <c:v>951.42857142857179</c:v>
                </c:pt>
                <c:pt idx="64">
                  <c:v>940.40816326530648</c:v>
                </c:pt>
                <c:pt idx="65">
                  <c:v>928.5714285714289</c:v>
                </c:pt>
                <c:pt idx="66">
                  <c:v>915.91836734693902</c:v>
                </c:pt>
                <c:pt idx="67">
                  <c:v>902.44897959183731</c:v>
                </c:pt>
                <c:pt idx="68">
                  <c:v>888.16326530612309</c:v>
                </c:pt>
                <c:pt idx="69">
                  <c:v>873.06122448979659</c:v>
                </c:pt>
                <c:pt idx="70">
                  <c:v>857.14285714285825</c:v>
                </c:pt>
                <c:pt idx="71">
                  <c:v>840.40816326530694</c:v>
                </c:pt>
                <c:pt idx="72">
                  <c:v>822.85714285714357</c:v>
                </c:pt>
                <c:pt idx="73">
                  <c:v>804.48979591836815</c:v>
                </c:pt>
                <c:pt idx="74">
                  <c:v>785.30612244898066</c:v>
                </c:pt>
                <c:pt idx="75">
                  <c:v>765.30612244898066</c:v>
                </c:pt>
                <c:pt idx="76">
                  <c:v>744.4897959183686</c:v>
                </c:pt>
                <c:pt idx="77">
                  <c:v>722.85714285714403</c:v>
                </c:pt>
                <c:pt idx="78">
                  <c:v>700.40816326530785</c:v>
                </c:pt>
                <c:pt idx="79">
                  <c:v>677.1428571428587</c:v>
                </c:pt>
                <c:pt idx="80">
                  <c:v>653.0612244897975</c:v>
                </c:pt>
                <c:pt idx="81">
                  <c:v>628.16326530612378</c:v>
                </c:pt>
                <c:pt idx="82">
                  <c:v>602.44897959183891</c:v>
                </c:pt>
                <c:pt idx="83">
                  <c:v>575.91836734694061</c:v>
                </c:pt>
                <c:pt idx="84">
                  <c:v>548.57142857143072</c:v>
                </c:pt>
                <c:pt idx="85">
                  <c:v>520.4081632653083</c:v>
                </c:pt>
                <c:pt idx="86">
                  <c:v>491.42857142857383</c:v>
                </c:pt>
                <c:pt idx="87">
                  <c:v>461.63265306122685</c:v>
                </c:pt>
                <c:pt idx="88">
                  <c:v>431.0204081632678</c:v>
                </c:pt>
                <c:pt idx="89">
                  <c:v>399.59183673469624</c:v>
                </c:pt>
                <c:pt idx="90">
                  <c:v>367.34693877551263</c:v>
                </c:pt>
                <c:pt idx="91">
                  <c:v>334.2857142857174</c:v>
                </c:pt>
                <c:pt idx="92">
                  <c:v>300.40816326530876</c:v>
                </c:pt>
                <c:pt idx="93">
                  <c:v>265.71428571428942</c:v>
                </c:pt>
                <c:pt idx="94">
                  <c:v>230.2040816326562</c:v>
                </c:pt>
                <c:pt idx="95">
                  <c:v>193.87755102041183</c:v>
                </c:pt>
                <c:pt idx="96">
                  <c:v>156.73469387755449</c:v>
                </c:pt>
                <c:pt idx="97">
                  <c:v>118.77551020408509</c:v>
                </c:pt>
                <c:pt idx="98">
                  <c:v>80.000000000003638</c:v>
                </c:pt>
                <c:pt idx="99">
                  <c:v>40.408163265309668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04-46E0-A1EA-901E63DE2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003280"/>
        <c:axId val="970997872"/>
      </c:scatterChart>
      <c:valAx>
        <c:axId val="97100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x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3213757655293084"/>
              <c:y val="0.69606481481481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997872"/>
        <c:crosses val="autoZero"/>
        <c:crossBetween val="midCat"/>
      </c:valAx>
      <c:valAx>
        <c:axId val="9709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y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5"/>
              <c:y val="0.15054790026246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00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</a:t>
            </a:r>
            <a:r>
              <a:rPr lang="en-US" baseline="0"/>
              <a:t> </a:t>
            </a:r>
            <a:r>
              <a:rPr lang="ru-RU" baseline="0"/>
              <a:t>град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35.347975664670962</c:v>
                </c:pt>
                <c:pt idx="2">
                  <c:v>70.695951329341923</c:v>
                </c:pt>
                <c:pt idx="3">
                  <c:v>106.04392699401288</c:v>
                </c:pt>
                <c:pt idx="4">
                  <c:v>141.39190265868385</c:v>
                </c:pt>
                <c:pt idx="5">
                  <c:v>176.73987832335482</c:v>
                </c:pt>
                <c:pt idx="6">
                  <c:v>212.08785398802578</c:v>
                </c:pt>
                <c:pt idx="7">
                  <c:v>247.43582965269675</c:v>
                </c:pt>
                <c:pt idx="8">
                  <c:v>282.78380531736775</c:v>
                </c:pt>
                <c:pt idx="9">
                  <c:v>318.13178098203872</c:v>
                </c:pt>
                <c:pt idx="10">
                  <c:v>353.47975664670963</c:v>
                </c:pt>
                <c:pt idx="11">
                  <c:v>388.82773231138054</c:v>
                </c:pt>
                <c:pt idx="12">
                  <c:v>424.17570797605151</c:v>
                </c:pt>
                <c:pt idx="13">
                  <c:v>459.52368364072242</c:v>
                </c:pt>
                <c:pt idx="14">
                  <c:v>494.87165930539334</c:v>
                </c:pt>
                <c:pt idx="15">
                  <c:v>530.21963497006425</c:v>
                </c:pt>
                <c:pt idx="16">
                  <c:v>565.56761063473527</c:v>
                </c:pt>
                <c:pt idx="17">
                  <c:v>600.91558629940619</c:v>
                </c:pt>
                <c:pt idx="18">
                  <c:v>636.2635619640771</c:v>
                </c:pt>
                <c:pt idx="19">
                  <c:v>671.61153762874801</c:v>
                </c:pt>
                <c:pt idx="20">
                  <c:v>706.95951329341892</c:v>
                </c:pt>
                <c:pt idx="21">
                  <c:v>742.30748895808983</c:v>
                </c:pt>
                <c:pt idx="22">
                  <c:v>777.65546462276086</c:v>
                </c:pt>
                <c:pt idx="23">
                  <c:v>813.00344028743177</c:v>
                </c:pt>
                <c:pt idx="24">
                  <c:v>848.35141595210268</c:v>
                </c:pt>
                <c:pt idx="25">
                  <c:v>883.6993916167736</c:v>
                </c:pt>
                <c:pt idx="26">
                  <c:v>919.04736728144451</c:v>
                </c:pt>
                <c:pt idx="27">
                  <c:v>954.39534294611553</c:v>
                </c:pt>
                <c:pt idx="28">
                  <c:v>989.74331861078645</c:v>
                </c:pt>
                <c:pt idx="29">
                  <c:v>1025.0912942754574</c:v>
                </c:pt>
                <c:pt idx="30">
                  <c:v>1060.4392699401283</c:v>
                </c:pt>
                <c:pt idx="31">
                  <c:v>1095.7872456047992</c:v>
                </c:pt>
                <c:pt idx="32">
                  <c:v>1131.1352212694701</c:v>
                </c:pt>
                <c:pt idx="33">
                  <c:v>1166.483196934141</c:v>
                </c:pt>
                <c:pt idx="34">
                  <c:v>1201.8311725988119</c:v>
                </c:pt>
                <c:pt idx="35">
                  <c:v>1237.1791482634828</c:v>
                </c:pt>
                <c:pt idx="36">
                  <c:v>1272.527123928154</c:v>
                </c:pt>
                <c:pt idx="37">
                  <c:v>1307.8750995928249</c:v>
                </c:pt>
                <c:pt idx="38">
                  <c:v>1343.2230752574958</c:v>
                </c:pt>
                <c:pt idx="39">
                  <c:v>1378.5710509221667</c:v>
                </c:pt>
                <c:pt idx="40">
                  <c:v>1413.9190265868376</c:v>
                </c:pt>
                <c:pt idx="41">
                  <c:v>1449.2670022515085</c:v>
                </c:pt>
                <c:pt idx="42">
                  <c:v>1484.6149779161794</c:v>
                </c:pt>
                <c:pt idx="43">
                  <c:v>1519.9629535808504</c:v>
                </c:pt>
                <c:pt idx="44">
                  <c:v>1555.3109292455213</c:v>
                </c:pt>
                <c:pt idx="45">
                  <c:v>1590.6589049101922</c:v>
                </c:pt>
                <c:pt idx="46">
                  <c:v>1626.0068805748631</c:v>
                </c:pt>
                <c:pt idx="47">
                  <c:v>1661.3548562395342</c:v>
                </c:pt>
                <c:pt idx="48">
                  <c:v>1696.7028319042051</c:v>
                </c:pt>
                <c:pt idx="49">
                  <c:v>1732.0508075688761</c:v>
                </c:pt>
                <c:pt idx="50">
                  <c:v>1767.398783233547</c:v>
                </c:pt>
                <c:pt idx="51">
                  <c:v>1802.7467588982179</c:v>
                </c:pt>
                <c:pt idx="52">
                  <c:v>1838.0947345628888</c:v>
                </c:pt>
                <c:pt idx="53">
                  <c:v>1873.4427102275597</c:v>
                </c:pt>
                <c:pt idx="54">
                  <c:v>1908.7906858922306</c:v>
                </c:pt>
                <c:pt idx="55">
                  <c:v>1944.1386615569015</c:v>
                </c:pt>
                <c:pt idx="56">
                  <c:v>1979.4866372215724</c:v>
                </c:pt>
                <c:pt idx="57">
                  <c:v>2014.8346128862433</c:v>
                </c:pt>
                <c:pt idx="58">
                  <c:v>2050.1825885509143</c:v>
                </c:pt>
                <c:pt idx="59">
                  <c:v>2085.5305642155854</c:v>
                </c:pt>
                <c:pt idx="60">
                  <c:v>2120.8785398802561</c:v>
                </c:pt>
                <c:pt idx="61">
                  <c:v>2156.2265155449272</c:v>
                </c:pt>
                <c:pt idx="62">
                  <c:v>2191.5744912095979</c:v>
                </c:pt>
                <c:pt idx="63">
                  <c:v>2226.922466874269</c:v>
                </c:pt>
                <c:pt idx="64">
                  <c:v>2262.2704425389402</c:v>
                </c:pt>
                <c:pt idx="65">
                  <c:v>2297.6184182036109</c:v>
                </c:pt>
                <c:pt idx="66">
                  <c:v>2332.966393868282</c:v>
                </c:pt>
                <c:pt idx="67">
                  <c:v>2368.3143695329527</c:v>
                </c:pt>
                <c:pt idx="68">
                  <c:v>2403.6623451976238</c:v>
                </c:pt>
                <c:pt idx="69">
                  <c:v>2439.0103208622945</c:v>
                </c:pt>
                <c:pt idx="70">
                  <c:v>2474.3582965269657</c:v>
                </c:pt>
                <c:pt idx="71">
                  <c:v>2509.7062721916363</c:v>
                </c:pt>
                <c:pt idx="72">
                  <c:v>2545.0542478563075</c:v>
                </c:pt>
                <c:pt idx="73">
                  <c:v>2580.4022235209782</c:v>
                </c:pt>
                <c:pt idx="74">
                  <c:v>2615.7501991856493</c:v>
                </c:pt>
                <c:pt idx="75">
                  <c:v>2651.0981748503204</c:v>
                </c:pt>
                <c:pt idx="76">
                  <c:v>2686.4461505149911</c:v>
                </c:pt>
                <c:pt idx="77">
                  <c:v>2721.7941261796623</c:v>
                </c:pt>
                <c:pt idx="78">
                  <c:v>2757.142101844333</c:v>
                </c:pt>
                <c:pt idx="79">
                  <c:v>2792.4900775090041</c:v>
                </c:pt>
                <c:pt idx="80">
                  <c:v>2827.8380531736752</c:v>
                </c:pt>
                <c:pt idx="81">
                  <c:v>2863.1860288383459</c:v>
                </c:pt>
                <c:pt idx="82">
                  <c:v>2898.5340045030171</c:v>
                </c:pt>
                <c:pt idx="83">
                  <c:v>2933.8819801676882</c:v>
                </c:pt>
                <c:pt idx="84">
                  <c:v>2969.2299558323589</c:v>
                </c:pt>
                <c:pt idx="85">
                  <c:v>3004.57793149703</c:v>
                </c:pt>
                <c:pt idx="86">
                  <c:v>3039.9259071617007</c:v>
                </c:pt>
                <c:pt idx="87">
                  <c:v>3075.2738828263718</c:v>
                </c:pt>
                <c:pt idx="88">
                  <c:v>3110.6218584910425</c:v>
                </c:pt>
                <c:pt idx="89">
                  <c:v>3145.9698341557137</c:v>
                </c:pt>
                <c:pt idx="90">
                  <c:v>3181.3178098203844</c:v>
                </c:pt>
                <c:pt idx="91">
                  <c:v>3216.6657854850555</c:v>
                </c:pt>
                <c:pt idx="92">
                  <c:v>3252.0137611497262</c:v>
                </c:pt>
                <c:pt idx="93">
                  <c:v>3287.3617368143973</c:v>
                </c:pt>
                <c:pt idx="94">
                  <c:v>3322.7097124790685</c:v>
                </c:pt>
                <c:pt idx="95">
                  <c:v>3358.0576881437391</c:v>
                </c:pt>
                <c:pt idx="96">
                  <c:v>3393.4056638084103</c:v>
                </c:pt>
                <c:pt idx="97">
                  <c:v>3428.753639473081</c:v>
                </c:pt>
                <c:pt idx="98">
                  <c:v>3464.1016151377521</c:v>
                </c:pt>
                <c:pt idx="99">
                  <c:v>3499.4495908024228</c:v>
                </c:pt>
                <c:pt idx="100">
                  <c:v>3534.7975664670939</c:v>
                </c:pt>
              </c:numCache>
            </c:numRef>
          </c:xVal>
          <c:yVal>
            <c:numRef>
              <c:f>'30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20.204081632653054</c:v>
                </c:pt>
                <c:pt idx="2">
                  <c:v>39.999999999999986</c:v>
                </c:pt>
                <c:pt idx="3">
                  <c:v>59.387755102040785</c:v>
                </c:pt>
                <c:pt idx="4">
                  <c:v>78.367346938775484</c:v>
                </c:pt>
                <c:pt idx="5">
                  <c:v>96.938775510204039</c:v>
                </c:pt>
                <c:pt idx="6">
                  <c:v>115.10204081632651</c:v>
                </c:pt>
                <c:pt idx="7">
                  <c:v>132.8571428571428</c:v>
                </c:pt>
                <c:pt idx="8">
                  <c:v>150.20408163265304</c:v>
                </c:pt>
                <c:pt idx="9">
                  <c:v>167.14285714285711</c:v>
                </c:pt>
                <c:pt idx="10">
                  <c:v>183.67346938775503</c:v>
                </c:pt>
                <c:pt idx="11">
                  <c:v>199.79591836734687</c:v>
                </c:pt>
                <c:pt idx="12">
                  <c:v>215.51020408163254</c:v>
                </c:pt>
                <c:pt idx="13">
                  <c:v>230.81632653061214</c:v>
                </c:pt>
                <c:pt idx="14">
                  <c:v>245.71428571428558</c:v>
                </c:pt>
                <c:pt idx="15">
                  <c:v>260.2040816326529</c:v>
                </c:pt>
                <c:pt idx="16">
                  <c:v>274.28571428571411</c:v>
                </c:pt>
                <c:pt idx="17">
                  <c:v>287.95918367346923</c:v>
                </c:pt>
                <c:pt idx="18">
                  <c:v>301.2244897959182</c:v>
                </c:pt>
                <c:pt idx="19">
                  <c:v>314.08163265306104</c:v>
                </c:pt>
                <c:pt idx="20">
                  <c:v>326.53061224489772</c:v>
                </c:pt>
                <c:pt idx="21">
                  <c:v>338.57142857142833</c:v>
                </c:pt>
                <c:pt idx="22">
                  <c:v>350.20408163265284</c:v>
                </c:pt>
                <c:pt idx="23">
                  <c:v>361.42857142857122</c:v>
                </c:pt>
                <c:pt idx="24">
                  <c:v>372.24489795918339</c:v>
                </c:pt>
                <c:pt idx="25">
                  <c:v>382.65306122448953</c:v>
                </c:pt>
                <c:pt idx="26">
                  <c:v>392.65306122448953</c:v>
                </c:pt>
                <c:pt idx="27">
                  <c:v>402.24489795918339</c:v>
                </c:pt>
                <c:pt idx="28">
                  <c:v>411.4285714285711</c:v>
                </c:pt>
                <c:pt idx="29">
                  <c:v>420.20408163265279</c:v>
                </c:pt>
                <c:pt idx="30">
                  <c:v>428.57142857142833</c:v>
                </c:pt>
                <c:pt idx="31">
                  <c:v>436.53061224489761</c:v>
                </c:pt>
                <c:pt idx="32">
                  <c:v>444.08163265306098</c:v>
                </c:pt>
                <c:pt idx="33">
                  <c:v>451.22448979591798</c:v>
                </c:pt>
                <c:pt idx="34">
                  <c:v>457.95918367346911</c:v>
                </c:pt>
                <c:pt idx="35">
                  <c:v>464.28571428571405</c:v>
                </c:pt>
                <c:pt idx="36">
                  <c:v>470.20408163265279</c:v>
                </c:pt>
                <c:pt idx="37">
                  <c:v>475.71428571428544</c:v>
                </c:pt>
                <c:pt idx="38">
                  <c:v>480.81632653061189</c:v>
                </c:pt>
                <c:pt idx="39">
                  <c:v>485.51020408163237</c:v>
                </c:pt>
                <c:pt idx="40">
                  <c:v>489.7959183673467</c:v>
                </c:pt>
                <c:pt idx="41">
                  <c:v>493.67346938775484</c:v>
                </c:pt>
                <c:pt idx="42">
                  <c:v>497.14285714285694</c:v>
                </c:pt>
                <c:pt idx="43">
                  <c:v>500.20408163265279</c:v>
                </c:pt>
                <c:pt idx="44">
                  <c:v>502.85714285714261</c:v>
                </c:pt>
                <c:pt idx="45">
                  <c:v>505.10204081632634</c:v>
                </c:pt>
                <c:pt idx="46">
                  <c:v>506.93877551020381</c:v>
                </c:pt>
                <c:pt idx="47">
                  <c:v>508.36734693877531</c:v>
                </c:pt>
                <c:pt idx="48">
                  <c:v>509.38775510204056</c:v>
                </c:pt>
                <c:pt idx="49">
                  <c:v>509.99999999999983</c:v>
                </c:pt>
                <c:pt idx="50">
                  <c:v>510.20408163265296</c:v>
                </c:pt>
                <c:pt idx="51">
                  <c:v>509.99999999999977</c:v>
                </c:pt>
                <c:pt idx="52">
                  <c:v>509.38775510204061</c:v>
                </c:pt>
                <c:pt idx="53">
                  <c:v>508.36734693877543</c:v>
                </c:pt>
                <c:pt idx="54">
                  <c:v>506.93877551020398</c:v>
                </c:pt>
                <c:pt idx="55">
                  <c:v>505.10204081632628</c:v>
                </c:pt>
                <c:pt idx="56">
                  <c:v>502.85714285714289</c:v>
                </c:pt>
                <c:pt idx="57">
                  <c:v>500.20408163265301</c:v>
                </c:pt>
                <c:pt idx="58">
                  <c:v>497.14285714285711</c:v>
                </c:pt>
                <c:pt idx="59">
                  <c:v>493.67346938775495</c:v>
                </c:pt>
                <c:pt idx="60">
                  <c:v>489.79591836734699</c:v>
                </c:pt>
                <c:pt idx="61">
                  <c:v>485.51020408163265</c:v>
                </c:pt>
                <c:pt idx="62">
                  <c:v>480.81632653061217</c:v>
                </c:pt>
                <c:pt idx="63">
                  <c:v>475.71428571428589</c:v>
                </c:pt>
                <c:pt idx="64">
                  <c:v>470.20408163265324</c:v>
                </c:pt>
                <c:pt idx="65">
                  <c:v>464.28571428571433</c:v>
                </c:pt>
                <c:pt idx="66">
                  <c:v>457.95918367346962</c:v>
                </c:pt>
                <c:pt idx="67">
                  <c:v>451.22448979591854</c:v>
                </c:pt>
                <c:pt idx="68">
                  <c:v>444.08163265306132</c:v>
                </c:pt>
                <c:pt idx="69">
                  <c:v>436.53061224489807</c:v>
                </c:pt>
                <c:pt idx="70">
                  <c:v>428.57142857142878</c:v>
                </c:pt>
                <c:pt idx="71">
                  <c:v>420.20408163265324</c:v>
                </c:pt>
                <c:pt idx="72">
                  <c:v>411.42857142857156</c:v>
                </c:pt>
                <c:pt idx="73">
                  <c:v>402.24489795918407</c:v>
                </c:pt>
                <c:pt idx="74">
                  <c:v>392.65306122449033</c:v>
                </c:pt>
                <c:pt idx="75">
                  <c:v>382.65306122449033</c:v>
                </c:pt>
                <c:pt idx="76">
                  <c:v>372.2448979591843</c:v>
                </c:pt>
                <c:pt idx="77">
                  <c:v>361.42857142857201</c:v>
                </c:pt>
                <c:pt idx="78">
                  <c:v>350.2040816326537</c:v>
                </c:pt>
                <c:pt idx="79">
                  <c:v>338.5714285714289</c:v>
                </c:pt>
                <c:pt idx="80">
                  <c:v>326.53061224489852</c:v>
                </c:pt>
                <c:pt idx="81">
                  <c:v>314.08163265306166</c:v>
                </c:pt>
                <c:pt idx="82">
                  <c:v>301.224489795919</c:v>
                </c:pt>
                <c:pt idx="83">
                  <c:v>287.95918367347008</c:v>
                </c:pt>
                <c:pt idx="84">
                  <c:v>274.28571428571513</c:v>
                </c:pt>
                <c:pt idx="85">
                  <c:v>260.20408163265392</c:v>
                </c:pt>
                <c:pt idx="86">
                  <c:v>245.71428571428646</c:v>
                </c:pt>
                <c:pt idx="87">
                  <c:v>230.8163265306132</c:v>
                </c:pt>
                <c:pt idx="88">
                  <c:v>215.51020408163345</c:v>
                </c:pt>
                <c:pt idx="89">
                  <c:v>199.79591836734767</c:v>
                </c:pt>
                <c:pt idx="90">
                  <c:v>183.67346938775609</c:v>
                </c:pt>
                <c:pt idx="91">
                  <c:v>167.14285714285802</c:v>
                </c:pt>
                <c:pt idx="92">
                  <c:v>150.20408163265392</c:v>
                </c:pt>
                <c:pt idx="93">
                  <c:v>132.8571428571438</c:v>
                </c:pt>
                <c:pt idx="94">
                  <c:v>115.10204081632764</c:v>
                </c:pt>
                <c:pt idx="95">
                  <c:v>96.938775510205005</c:v>
                </c:pt>
                <c:pt idx="96">
                  <c:v>78.367346938776564</c:v>
                </c:pt>
                <c:pt idx="97">
                  <c:v>59.38775510204232</c:v>
                </c:pt>
                <c:pt idx="98">
                  <c:v>40.000000000001364</c:v>
                </c:pt>
                <c:pt idx="99">
                  <c:v>20.204081632654379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22-4107-A7DD-595E71F07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995792"/>
        <c:axId val="971000784"/>
      </c:scatterChart>
      <c:valAx>
        <c:axId val="97099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x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3691535433070872"/>
              <c:y val="0.70069444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000784"/>
        <c:crosses val="autoZero"/>
        <c:crossBetween val="midCat"/>
      </c:valAx>
      <c:valAx>
        <c:axId val="9710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y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388888888888889"/>
              <c:y val="0.14128864100320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99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15</a:t>
            </a:r>
            <a:r>
              <a:rPr lang="ru-RU" baseline="0"/>
              <a:t> град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837248468941381"/>
          <c:y val="0.16849514306113778"/>
          <c:w val="0.81573862642169725"/>
          <c:h val="0.6641078728339082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20.408163265306115</c:v>
                </c:pt>
                <c:pt idx="2">
                  <c:v>40.81632653061223</c:v>
                </c:pt>
                <c:pt idx="3">
                  <c:v>61.224489795918345</c:v>
                </c:pt>
                <c:pt idx="4">
                  <c:v>81.63265306122446</c:v>
                </c:pt>
                <c:pt idx="5">
                  <c:v>102.04081632653057</c:v>
                </c:pt>
                <c:pt idx="6">
                  <c:v>122.44897959183669</c:v>
                </c:pt>
                <c:pt idx="7">
                  <c:v>142.8571428571428</c:v>
                </c:pt>
                <c:pt idx="8">
                  <c:v>163.26530612244892</c:v>
                </c:pt>
                <c:pt idx="9">
                  <c:v>183.67346938775503</c:v>
                </c:pt>
                <c:pt idx="10">
                  <c:v>204.08163265306115</c:v>
                </c:pt>
                <c:pt idx="11">
                  <c:v>224.48979591836726</c:v>
                </c:pt>
                <c:pt idx="12">
                  <c:v>244.89795918367338</c:v>
                </c:pt>
                <c:pt idx="13">
                  <c:v>265.30612244897952</c:v>
                </c:pt>
                <c:pt idx="14">
                  <c:v>285.71428571428567</c:v>
                </c:pt>
                <c:pt idx="15">
                  <c:v>306.12244897959181</c:v>
                </c:pt>
                <c:pt idx="16">
                  <c:v>326.53061224489795</c:v>
                </c:pt>
                <c:pt idx="17">
                  <c:v>346.9387755102041</c:v>
                </c:pt>
                <c:pt idx="18">
                  <c:v>367.34693877551024</c:v>
                </c:pt>
                <c:pt idx="19">
                  <c:v>387.75510204081638</c:v>
                </c:pt>
                <c:pt idx="20">
                  <c:v>408.16326530612247</c:v>
                </c:pt>
                <c:pt idx="21">
                  <c:v>428.57142857142861</c:v>
                </c:pt>
                <c:pt idx="22">
                  <c:v>448.97959183673476</c:v>
                </c:pt>
                <c:pt idx="23">
                  <c:v>469.3877551020409</c:v>
                </c:pt>
                <c:pt idx="24">
                  <c:v>489.79591836734704</c:v>
                </c:pt>
                <c:pt idx="25">
                  <c:v>510.20408163265319</c:v>
                </c:pt>
                <c:pt idx="26">
                  <c:v>530.61224489795927</c:v>
                </c:pt>
                <c:pt idx="27">
                  <c:v>551.02040816326542</c:v>
                </c:pt>
                <c:pt idx="28">
                  <c:v>571.42857142857156</c:v>
                </c:pt>
                <c:pt idx="29">
                  <c:v>591.8367346938777</c:v>
                </c:pt>
                <c:pt idx="30">
                  <c:v>612.24489795918385</c:v>
                </c:pt>
                <c:pt idx="31">
                  <c:v>632.65306122448999</c:v>
                </c:pt>
                <c:pt idx="32">
                  <c:v>653.06122448979613</c:v>
                </c:pt>
                <c:pt idx="33">
                  <c:v>673.46938775510228</c:v>
                </c:pt>
                <c:pt idx="34">
                  <c:v>693.87755102040842</c:v>
                </c:pt>
                <c:pt idx="35">
                  <c:v>714.28571428571456</c:v>
                </c:pt>
                <c:pt idx="36">
                  <c:v>734.69387755102071</c:v>
                </c:pt>
                <c:pt idx="37">
                  <c:v>755.10204081632685</c:v>
                </c:pt>
                <c:pt idx="38">
                  <c:v>775.51020408163288</c:v>
                </c:pt>
                <c:pt idx="39">
                  <c:v>795.91836734693902</c:v>
                </c:pt>
                <c:pt idx="40">
                  <c:v>816.32653061224516</c:v>
                </c:pt>
                <c:pt idx="41">
                  <c:v>836.73469387755131</c:v>
                </c:pt>
                <c:pt idx="42">
                  <c:v>857.14285714285745</c:v>
                </c:pt>
                <c:pt idx="43">
                  <c:v>877.55102040816359</c:v>
                </c:pt>
                <c:pt idx="44">
                  <c:v>897.95918367346974</c:v>
                </c:pt>
                <c:pt idx="45">
                  <c:v>918.36734693877588</c:v>
                </c:pt>
                <c:pt idx="46">
                  <c:v>938.77551020408202</c:v>
                </c:pt>
                <c:pt idx="47">
                  <c:v>959.18367346938817</c:v>
                </c:pt>
                <c:pt idx="48">
                  <c:v>979.59183673469431</c:v>
                </c:pt>
                <c:pt idx="49">
                  <c:v>1000.0000000000003</c:v>
                </c:pt>
                <c:pt idx="50">
                  <c:v>1020.4081632653065</c:v>
                </c:pt>
                <c:pt idx="51">
                  <c:v>1040.8163265306127</c:v>
                </c:pt>
                <c:pt idx="52">
                  <c:v>1061.2244897959188</c:v>
                </c:pt>
                <c:pt idx="53">
                  <c:v>1081.632653061225</c:v>
                </c:pt>
                <c:pt idx="54">
                  <c:v>1102.0408163265311</c:v>
                </c:pt>
                <c:pt idx="55">
                  <c:v>1122.4489795918373</c:v>
                </c:pt>
                <c:pt idx="56">
                  <c:v>1142.8571428571433</c:v>
                </c:pt>
                <c:pt idx="57">
                  <c:v>1163.2653061224496</c:v>
                </c:pt>
                <c:pt idx="58">
                  <c:v>1183.6734693877556</c:v>
                </c:pt>
                <c:pt idx="59">
                  <c:v>1204.0816326530617</c:v>
                </c:pt>
                <c:pt idx="60">
                  <c:v>1224.4897959183679</c:v>
                </c:pt>
                <c:pt idx="61">
                  <c:v>1244.8979591836739</c:v>
                </c:pt>
                <c:pt idx="62">
                  <c:v>1265.3061224489802</c:v>
                </c:pt>
                <c:pt idx="63">
                  <c:v>1285.7142857142862</c:v>
                </c:pt>
                <c:pt idx="64">
                  <c:v>1306.1224489795925</c:v>
                </c:pt>
                <c:pt idx="65">
                  <c:v>1326.5306122448985</c:v>
                </c:pt>
                <c:pt idx="66">
                  <c:v>1346.9387755102048</c:v>
                </c:pt>
                <c:pt idx="67">
                  <c:v>1367.3469387755108</c:v>
                </c:pt>
                <c:pt idx="68">
                  <c:v>1387.7551020408171</c:v>
                </c:pt>
                <c:pt idx="69">
                  <c:v>1408.1632653061231</c:v>
                </c:pt>
                <c:pt idx="70">
                  <c:v>1428.5714285714294</c:v>
                </c:pt>
                <c:pt idx="71">
                  <c:v>1448.9795918367354</c:v>
                </c:pt>
                <c:pt idx="72">
                  <c:v>1469.3877551020416</c:v>
                </c:pt>
                <c:pt idx="73">
                  <c:v>1489.7959183673477</c:v>
                </c:pt>
                <c:pt idx="74">
                  <c:v>1510.2040816326539</c:v>
                </c:pt>
                <c:pt idx="75">
                  <c:v>1530.61224489796</c:v>
                </c:pt>
                <c:pt idx="76">
                  <c:v>1551.0204081632662</c:v>
                </c:pt>
                <c:pt idx="77">
                  <c:v>1571.428571428572</c:v>
                </c:pt>
                <c:pt idx="78">
                  <c:v>1591.836734693878</c:v>
                </c:pt>
                <c:pt idx="79">
                  <c:v>1612.2448979591841</c:v>
                </c:pt>
                <c:pt idx="80">
                  <c:v>1632.6530612244899</c:v>
                </c:pt>
                <c:pt idx="81">
                  <c:v>1653.0612244897959</c:v>
                </c:pt>
                <c:pt idx="82">
                  <c:v>1673.4693877551019</c:v>
                </c:pt>
                <c:pt idx="83">
                  <c:v>1693.877551020408</c:v>
                </c:pt>
                <c:pt idx="84">
                  <c:v>1714.2857142857138</c:v>
                </c:pt>
                <c:pt idx="85">
                  <c:v>1734.6938775510198</c:v>
                </c:pt>
                <c:pt idx="86">
                  <c:v>1755.1020408163258</c:v>
                </c:pt>
                <c:pt idx="87">
                  <c:v>1775.5102040816316</c:v>
                </c:pt>
                <c:pt idx="88">
                  <c:v>1795.9183673469377</c:v>
                </c:pt>
                <c:pt idx="89">
                  <c:v>1816.3265306122437</c:v>
                </c:pt>
                <c:pt idx="90">
                  <c:v>1836.7346938775497</c:v>
                </c:pt>
                <c:pt idx="91">
                  <c:v>1857.1428571428555</c:v>
                </c:pt>
                <c:pt idx="92">
                  <c:v>1877.5510204081615</c:v>
                </c:pt>
                <c:pt idx="93">
                  <c:v>1897.9591836734676</c:v>
                </c:pt>
                <c:pt idx="94">
                  <c:v>1918.3673469387734</c:v>
                </c:pt>
                <c:pt idx="95">
                  <c:v>1938.7755102040794</c:v>
                </c:pt>
                <c:pt idx="96">
                  <c:v>1959.1836734693854</c:v>
                </c:pt>
                <c:pt idx="97">
                  <c:v>1979.5918367346915</c:v>
                </c:pt>
                <c:pt idx="98">
                  <c:v>1999.9999999999973</c:v>
                </c:pt>
                <c:pt idx="99">
                  <c:v>2020.4081632653033</c:v>
                </c:pt>
                <c:pt idx="100">
                  <c:v>2040.8163265306093</c:v>
                </c:pt>
              </c:numCache>
            </c:numRef>
          </c:xVal>
          <c:yVal>
            <c:numRef>
              <c:f>'15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5.4136673572818648</c:v>
                </c:pt>
                <c:pt idx="2">
                  <c:v>10.717967697244905</c:v>
                </c:pt>
                <c:pt idx="3">
                  <c:v>15.912901019889118</c:v>
                </c:pt>
                <c:pt idx="4">
                  <c:v>20.998467325214506</c:v>
                </c:pt>
                <c:pt idx="5">
                  <c:v>25.974666613221071</c:v>
                </c:pt>
                <c:pt idx="6">
                  <c:v>30.841498883908805</c:v>
                </c:pt>
                <c:pt idx="7">
                  <c:v>35.598964137277711</c:v>
                </c:pt>
                <c:pt idx="8">
                  <c:v>40.247062373327807</c:v>
                </c:pt>
                <c:pt idx="9">
                  <c:v>44.785793592059065</c:v>
                </c:pt>
                <c:pt idx="10">
                  <c:v>49.215157793471505</c:v>
                </c:pt>
                <c:pt idx="11">
                  <c:v>53.535154977565107</c:v>
                </c:pt>
                <c:pt idx="12">
                  <c:v>57.745785144339891</c:v>
                </c:pt>
                <c:pt idx="13">
                  <c:v>61.847048293795858</c:v>
                </c:pt>
                <c:pt idx="14">
                  <c:v>65.838944425932993</c:v>
                </c:pt>
                <c:pt idx="15">
                  <c:v>69.721473540751305</c:v>
                </c:pt>
                <c:pt idx="16">
                  <c:v>73.494635638250784</c:v>
                </c:pt>
                <c:pt idx="17">
                  <c:v>77.158430718431447</c:v>
                </c:pt>
                <c:pt idx="18">
                  <c:v>80.712858781293292</c:v>
                </c:pt>
                <c:pt idx="19">
                  <c:v>84.157919826836292</c:v>
                </c:pt>
                <c:pt idx="20">
                  <c:v>87.493613855060474</c:v>
                </c:pt>
                <c:pt idx="21">
                  <c:v>90.719940865965825</c:v>
                </c:pt>
                <c:pt idx="22">
                  <c:v>93.836900859552358</c:v>
                </c:pt>
                <c:pt idx="23">
                  <c:v>96.844493835820074</c:v>
                </c:pt>
                <c:pt idx="24">
                  <c:v>99.742719794768959</c:v>
                </c:pt>
                <c:pt idx="25">
                  <c:v>102.53157873639898</c:v>
                </c:pt>
                <c:pt idx="26">
                  <c:v>105.21107066071022</c:v>
                </c:pt>
                <c:pt idx="27">
                  <c:v>107.78119556770262</c:v>
                </c:pt>
                <c:pt idx="28">
                  <c:v>110.24195345737621</c:v>
                </c:pt>
                <c:pt idx="29">
                  <c:v>112.59334432973097</c:v>
                </c:pt>
                <c:pt idx="30">
                  <c:v>114.83536818476688</c:v>
                </c:pt>
                <c:pt idx="31">
                  <c:v>116.96802502248397</c:v>
                </c:pt>
                <c:pt idx="32">
                  <c:v>118.99131484288225</c:v>
                </c:pt>
                <c:pt idx="33">
                  <c:v>120.90523764596171</c:v>
                </c:pt>
                <c:pt idx="34">
                  <c:v>122.7097934317223</c:v>
                </c:pt>
                <c:pt idx="35">
                  <c:v>124.40498220016411</c:v>
                </c:pt>
                <c:pt idx="36">
                  <c:v>125.99080395128709</c:v>
                </c:pt>
                <c:pt idx="37">
                  <c:v>127.46725868509122</c:v>
                </c:pt>
                <c:pt idx="38">
                  <c:v>128.83434640157654</c:v>
                </c:pt>
                <c:pt idx="39">
                  <c:v>130.09206710074307</c:v>
                </c:pt>
                <c:pt idx="40">
                  <c:v>131.24042078259069</c:v>
                </c:pt>
                <c:pt idx="41">
                  <c:v>132.27940744711952</c:v>
                </c:pt>
                <c:pt idx="42">
                  <c:v>133.20902709432957</c:v>
                </c:pt>
                <c:pt idx="43">
                  <c:v>134.02927972422077</c:v>
                </c:pt>
                <c:pt idx="44">
                  <c:v>134.7401653367931</c:v>
                </c:pt>
                <c:pt idx="45">
                  <c:v>135.34168393204664</c:v>
                </c:pt>
                <c:pt idx="46">
                  <c:v>135.83383550998136</c:v>
                </c:pt>
                <c:pt idx="47">
                  <c:v>136.21662007059726</c:v>
                </c:pt>
                <c:pt idx="48">
                  <c:v>136.49003761389429</c:v>
                </c:pt>
                <c:pt idx="49">
                  <c:v>136.65408813987256</c:v>
                </c:pt>
                <c:pt idx="50">
                  <c:v>136.70877164853195</c:v>
                </c:pt>
                <c:pt idx="51">
                  <c:v>136.65408813987256</c:v>
                </c:pt>
                <c:pt idx="52">
                  <c:v>136.49003761389429</c:v>
                </c:pt>
                <c:pt idx="53">
                  <c:v>136.21662007059723</c:v>
                </c:pt>
                <c:pt idx="54">
                  <c:v>135.83383550998136</c:v>
                </c:pt>
                <c:pt idx="55">
                  <c:v>135.34168393204661</c:v>
                </c:pt>
                <c:pt idx="56">
                  <c:v>134.7401653367931</c:v>
                </c:pt>
                <c:pt idx="57">
                  <c:v>134.02927972422071</c:v>
                </c:pt>
                <c:pt idx="58">
                  <c:v>133.20902709432949</c:v>
                </c:pt>
                <c:pt idx="59">
                  <c:v>132.2794074471195</c:v>
                </c:pt>
                <c:pt idx="60">
                  <c:v>131.24042078259063</c:v>
                </c:pt>
                <c:pt idx="61">
                  <c:v>130.09206710074301</c:v>
                </c:pt>
                <c:pt idx="62">
                  <c:v>128.83434640157648</c:v>
                </c:pt>
                <c:pt idx="63">
                  <c:v>127.46725868509111</c:v>
                </c:pt>
                <c:pt idx="64">
                  <c:v>125.99080395128701</c:v>
                </c:pt>
                <c:pt idx="65">
                  <c:v>124.40498220016403</c:v>
                </c:pt>
                <c:pt idx="66">
                  <c:v>122.70979343172218</c:v>
                </c:pt>
                <c:pt idx="67">
                  <c:v>120.90523764596159</c:v>
                </c:pt>
                <c:pt idx="68">
                  <c:v>118.99131484288213</c:v>
                </c:pt>
                <c:pt idx="69">
                  <c:v>116.96802502248386</c:v>
                </c:pt>
                <c:pt idx="70">
                  <c:v>114.83536818476676</c:v>
                </c:pt>
                <c:pt idx="71">
                  <c:v>112.59334432973083</c:v>
                </c:pt>
                <c:pt idx="72">
                  <c:v>110.24195345737604</c:v>
                </c:pt>
                <c:pt idx="73">
                  <c:v>107.78119556770247</c:v>
                </c:pt>
                <c:pt idx="74">
                  <c:v>105.21107066071011</c:v>
                </c:pt>
                <c:pt idx="75">
                  <c:v>102.53157873639879</c:v>
                </c:pt>
                <c:pt idx="76">
                  <c:v>99.742719794768732</c:v>
                </c:pt>
                <c:pt idx="77">
                  <c:v>96.84449383581989</c:v>
                </c:pt>
                <c:pt idx="78">
                  <c:v>93.836900859552259</c:v>
                </c:pt>
                <c:pt idx="79">
                  <c:v>90.719940865965725</c:v>
                </c:pt>
                <c:pt idx="80">
                  <c:v>87.493613855060346</c:v>
                </c:pt>
                <c:pt idx="81">
                  <c:v>84.157919826836235</c:v>
                </c:pt>
                <c:pt idx="82">
                  <c:v>80.712858781293221</c:v>
                </c:pt>
                <c:pt idx="83">
                  <c:v>77.158430718431475</c:v>
                </c:pt>
                <c:pt idx="84">
                  <c:v>73.49463563825077</c:v>
                </c:pt>
                <c:pt idx="85">
                  <c:v>69.72147354075139</c:v>
                </c:pt>
                <c:pt idx="86">
                  <c:v>65.83894442593305</c:v>
                </c:pt>
                <c:pt idx="87">
                  <c:v>61.847048293795979</c:v>
                </c:pt>
                <c:pt idx="88">
                  <c:v>57.745785144340061</c:v>
                </c:pt>
                <c:pt idx="89">
                  <c:v>53.535154977565298</c:v>
                </c:pt>
                <c:pt idx="90">
                  <c:v>49.215157793471747</c:v>
                </c:pt>
                <c:pt idx="91">
                  <c:v>44.785793592059292</c:v>
                </c:pt>
                <c:pt idx="92">
                  <c:v>40.247062373328163</c:v>
                </c:pt>
                <c:pt idx="93">
                  <c:v>35.598964137278017</c:v>
                </c:pt>
                <c:pt idx="94">
                  <c:v>30.841498883909253</c:v>
                </c:pt>
                <c:pt idx="95">
                  <c:v>25.974666613221473</c:v>
                </c:pt>
                <c:pt idx="96">
                  <c:v>20.998467325214961</c:v>
                </c:pt>
                <c:pt idx="97">
                  <c:v>15.912901019889659</c:v>
                </c:pt>
                <c:pt idx="98">
                  <c:v>10.717967697245513</c:v>
                </c:pt>
                <c:pt idx="99">
                  <c:v>5.4136673572824066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36-4401-8609-0013720E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568608"/>
        <c:axId val="974564032"/>
      </c:scatterChart>
      <c:valAx>
        <c:axId val="97456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x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2858202099737552"/>
              <c:y val="0.7063032893258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4564032"/>
        <c:crosses val="autoZero"/>
        <c:crossBetween val="midCat"/>
      </c:valAx>
      <c:valAx>
        <c:axId val="9745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y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388888888888889"/>
              <c:y val="0.13892497750026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456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</a:t>
            </a:r>
            <a:r>
              <a:rPr lang="ru-RU" baseline="0"/>
              <a:t> график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326137357830272"/>
          <c:y val="0.17171296296296296"/>
          <c:w val="0.73695302632933612"/>
          <c:h val="0.68084135316418781"/>
        </c:manualLayout>
      </c:layout>
      <c:scatterChart>
        <c:scatterStyle val="smoothMarker"/>
        <c:varyColors val="0"/>
        <c:ser>
          <c:idx val="0"/>
          <c:order val="0"/>
          <c:tx>
            <c:v>58 град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задача!$B$2:$B$102</c:f>
              <c:numCache>
                <c:formatCode>General</c:formatCode>
                <c:ptCount val="101"/>
                <c:pt idx="0">
                  <c:v>0</c:v>
                </c:pt>
                <c:pt idx="1">
                  <c:v>36.68547127751701</c:v>
                </c:pt>
                <c:pt idx="2">
                  <c:v>73.37094255503402</c:v>
                </c:pt>
                <c:pt idx="3">
                  <c:v>110.05641383255104</c:v>
                </c:pt>
                <c:pt idx="4">
                  <c:v>146.74188511006804</c:v>
                </c:pt>
                <c:pt idx="5">
                  <c:v>183.42735638758506</c:v>
                </c:pt>
                <c:pt idx="6">
                  <c:v>220.11282766510209</c:v>
                </c:pt>
                <c:pt idx="7">
                  <c:v>256.79829894261906</c:v>
                </c:pt>
                <c:pt idx="8">
                  <c:v>293.48377022013608</c:v>
                </c:pt>
                <c:pt idx="9">
                  <c:v>330.16924149765316</c:v>
                </c:pt>
                <c:pt idx="10">
                  <c:v>366.85471277517019</c:v>
                </c:pt>
                <c:pt idx="11">
                  <c:v>403.54018405268721</c:v>
                </c:pt>
                <c:pt idx="12">
                  <c:v>440.22565533020423</c:v>
                </c:pt>
                <c:pt idx="13">
                  <c:v>476.91112660772126</c:v>
                </c:pt>
                <c:pt idx="14">
                  <c:v>513.59659788523834</c:v>
                </c:pt>
                <c:pt idx="15">
                  <c:v>550.28206916275531</c:v>
                </c:pt>
                <c:pt idx="16">
                  <c:v>586.96754044027239</c:v>
                </c:pt>
                <c:pt idx="17">
                  <c:v>623.65301171778947</c:v>
                </c:pt>
                <c:pt idx="18">
                  <c:v>660.33848299530644</c:v>
                </c:pt>
                <c:pt idx="19">
                  <c:v>697.02395427282352</c:v>
                </c:pt>
                <c:pt idx="20">
                  <c:v>733.70942555034048</c:v>
                </c:pt>
                <c:pt idx="21">
                  <c:v>770.39489682785756</c:v>
                </c:pt>
                <c:pt idx="22">
                  <c:v>807.08036810537465</c:v>
                </c:pt>
                <c:pt idx="23">
                  <c:v>843.76583938289161</c:v>
                </c:pt>
                <c:pt idx="24">
                  <c:v>880.45131066040869</c:v>
                </c:pt>
                <c:pt idx="25">
                  <c:v>917.13678193792566</c:v>
                </c:pt>
                <c:pt idx="26">
                  <c:v>953.82225321544274</c:v>
                </c:pt>
                <c:pt idx="27">
                  <c:v>990.50772449295982</c:v>
                </c:pt>
                <c:pt idx="28">
                  <c:v>1027.1931957704769</c:v>
                </c:pt>
                <c:pt idx="29">
                  <c:v>1063.8786670479938</c:v>
                </c:pt>
                <c:pt idx="30">
                  <c:v>1100.5641383255108</c:v>
                </c:pt>
                <c:pt idx="31">
                  <c:v>1137.2496096030279</c:v>
                </c:pt>
                <c:pt idx="32">
                  <c:v>1173.935080880545</c:v>
                </c:pt>
                <c:pt idx="33">
                  <c:v>1210.6205521580621</c:v>
                </c:pt>
                <c:pt idx="34">
                  <c:v>1247.3060234355789</c:v>
                </c:pt>
                <c:pt idx="35">
                  <c:v>1283.991494713096</c:v>
                </c:pt>
                <c:pt idx="36">
                  <c:v>1320.6769659906131</c:v>
                </c:pt>
                <c:pt idx="37">
                  <c:v>1357.3624372681302</c:v>
                </c:pt>
                <c:pt idx="38">
                  <c:v>1394.0479085456473</c:v>
                </c:pt>
                <c:pt idx="39">
                  <c:v>1430.7333798231641</c:v>
                </c:pt>
                <c:pt idx="40">
                  <c:v>1467.4188511006812</c:v>
                </c:pt>
                <c:pt idx="41">
                  <c:v>1504.1043223781983</c:v>
                </c:pt>
                <c:pt idx="42">
                  <c:v>1540.7897936557154</c:v>
                </c:pt>
                <c:pt idx="43">
                  <c:v>1577.4752649332324</c:v>
                </c:pt>
                <c:pt idx="44">
                  <c:v>1614.1607362107493</c:v>
                </c:pt>
                <c:pt idx="45">
                  <c:v>1650.8462074882664</c:v>
                </c:pt>
                <c:pt idx="46">
                  <c:v>1687.5316787657835</c:v>
                </c:pt>
                <c:pt idx="47">
                  <c:v>1724.2171500433005</c:v>
                </c:pt>
                <c:pt idx="48">
                  <c:v>1760.9026213208174</c:v>
                </c:pt>
                <c:pt idx="49">
                  <c:v>1797.5880925983342</c:v>
                </c:pt>
                <c:pt idx="50">
                  <c:v>1834.2735638758511</c:v>
                </c:pt>
                <c:pt idx="51">
                  <c:v>1870.9590351533679</c:v>
                </c:pt>
                <c:pt idx="52">
                  <c:v>1907.6445064308848</c:v>
                </c:pt>
                <c:pt idx="53">
                  <c:v>1944.3299777084017</c:v>
                </c:pt>
                <c:pt idx="54">
                  <c:v>1981.0154489859185</c:v>
                </c:pt>
                <c:pt idx="55">
                  <c:v>2017.7009202634354</c:v>
                </c:pt>
                <c:pt idx="56">
                  <c:v>2054.386391540952</c:v>
                </c:pt>
                <c:pt idx="57">
                  <c:v>2091.0718628184691</c:v>
                </c:pt>
                <c:pt idx="58">
                  <c:v>2127.7573340959857</c:v>
                </c:pt>
                <c:pt idx="59">
                  <c:v>2164.4428053735028</c:v>
                </c:pt>
                <c:pt idx="60">
                  <c:v>2201.1282766510194</c:v>
                </c:pt>
                <c:pt idx="61">
                  <c:v>2237.8137479285365</c:v>
                </c:pt>
                <c:pt idx="62">
                  <c:v>2274.4992192060531</c:v>
                </c:pt>
                <c:pt idx="63">
                  <c:v>2311.1846904835702</c:v>
                </c:pt>
                <c:pt idx="64">
                  <c:v>2347.8701617610868</c:v>
                </c:pt>
                <c:pt idx="65">
                  <c:v>2384.5556330386039</c:v>
                </c:pt>
                <c:pt idx="66">
                  <c:v>2421.2411043161205</c:v>
                </c:pt>
                <c:pt idx="67">
                  <c:v>2457.9265755936376</c:v>
                </c:pt>
                <c:pt idx="68">
                  <c:v>2494.6120468711542</c:v>
                </c:pt>
                <c:pt idx="69">
                  <c:v>2531.2975181486713</c:v>
                </c:pt>
                <c:pt idx="70">
                  <c:v>2567.9829894261879</c:v>
                </c:pt>
                <c:pt idx="71">
                  <c:v>2604.668460703705</c:v>
                </c:pt>
                <c:pt idx="72">
                  <c:v>2641.3539319812216</c:v>
                </c:pt>
                <c:pt idx="73">
                  <c:v>2678.0394032587387</c:v>
                </c:pt>
                <c:pt idx="74">
                  <c:v>2714.7248745362554</c:v>
                </c:pt>
                <c:pt idx="75">
                  <c:v>2751.4103458137724</c:v>
                </c:pt>
                <c:pt idx="76">
                  <c:v>2788.0958170912891</c:v>
                </c:pt>
                <c:pt idx="77">
                  <c:v>2824.7812883688061</c:v>
                </c:pt>
                <c:pt idx="78">
                  <c:v>2861.4667596463228</c:v>
                </c:pt>
                <c:pt idx="79">
                  <c:v>2898.1522309238399</c:v>
                </c:pt>
                <c:pt idx="80">
                  <c:v>2934.8377022013565</c:v>
                </c:pt>
                <c:pt idx="81">
                  <c:v>2971.5231734788731</c:v>
                </c:pt>
                <c:pt idx="82">
                  <c:v>3008.2086447563902</c:v>
                </c:pt>
                <c:pt idx="83">
                  <c:v>3044.8941160339068</c:v>
                </c:pt>
                <c:pt idx="84">
                  <c:v>3081.5795873114239</c:v>
                </c:pt>
                <c:pt idx="85">
                  <c:v>3118.2650585889405</c:v>
                </c:pt>
                <c:pt idx="86">
                  <c:v>3154.9505298664576</c:v>
                </c:pt>
                <c:pt idx="87">
                  <c:v>3191.6360011439742</c:v>
                </c:pt>
                <c:pt idx="88">
                  <c:v>3228.3214724214913</c:v>
                </c:pt>
                <c:pt idx="89">
                  <c:v>3265.0069436990079</c:v>
                </c:pt>
                <c:pt idx="90">
                  <c:v>3301.692414976525</c:v>
                </c:pt>
                <c:pt idx="91">
                  <c:v>3338.3778862540416</c:v>
                </c:pt>
                <c:pt idx="92">
                  <c:v>3375.0633575315587</c:v>
                </c:pt>
                <c:pt idx="93">
                  <c:v>3411.7488288090753</c:v>
                </c:pt>
                <c:pt idx="94">
                  <c:v>3448.4343000865929</c:v>
                </c:pt>
                <c:pt idx="95">
                  <c:v>3485.11977136411</c:v>
                </c:pt>
                <c:pt idx="96">
                  <c:v>3521.805242641627</c:v>
                </c:pt>
                <c:pt idx="97">
                  <c:v>3558.4907139191446</c:v>
                </c:pt>
                <c:pt idx="98">
                  <c:v>3595.1761851966617</c:v>
                </c:pt>
                <c:pt idx="99">
                  <c:v>3631.8616564741787</c:v>
                </c:pt>
                <c:pt idx="100">
                  <c:v>3668.5471277516963</c:v>
                </c:pt>
              </c:numCache>
            </c:numRef>
          </c:xVal>
          <c:yVal>
            <c:numRef>
              <c:f>задача!$C$2:$C$102</c:f>
              <c:numCache>
                <c:formatCode>General</c:formatCode>
                <c:ptCount val="101"/>
                <c:pt idx="0">
                  <c:v>0</c:v>
                </c:pt>
                <c:pt idx="1">
                  <c:v>58.121936135558627</c:v>
                </c:pt>
                <c:pt idx="2">
                  <c:v>115.06969174312617</c:v>
                </c:pt>
                <c:pt idx="3">
                  <c:v>170.84326682270262</c:v>
                </c:pt>
                <c:pt idx="4">
                  <c:v>225.44266137428801</c:v>
                </c:pt>
                <c:pt idx="5">
                  <c:v>278.8678753978823</c:v>
                </c:pt>
                <c:pt idx="6">
                  <c:v>331.11890889348552</c:v>
                </c:pt>
                <c:pt idx="7">
                  <c:v>382.19576186109759</c:v>
                </c:pt>
                <c:pt idx="8">
                  <c:v>432.09843430071868</c:v>
                </c:pt>
                <c:pt idx="9">
                  <c:v>480.82692621234872</c:v>
                </c:pt>
                <c:pt idx="10">
                  <c:v>528.38123759598761</c:v>
                </c:pt>
                <c:pt idx="11">
                  <c:v>574.76136845163546</c:v>
                </c:pt>
                <c:pt idx="12">
                  <c:v>619.96731877929221</c:v>
                </c:pt>
                <c:pt idx="13">
                  <c:v>663.99908857895787</c:v>
                </c:pt>
                <c:pt idx="14">
                  <c:v>706.85667785063242</c:v>
                </c:pt>
                <c:pt idx="15">
                  <c:v>748.54008659431588</c:v>
                </c:pt>
                <c:pt idx="16">
                  <c:v>789.04931481000824</c:v>
                </c:pt>
                <c:pt idx="17">
                  <c:v>828.38436249770962</c:v>
                </c:pt>
                <c:pt idx="18">
                  <c:v>866.54522965741978</c:v>
                </c:pt>
                <c:pt idx="19">
                  <c:v>903.53191628913896</c:v>
                </c:pt>
                <c:pt idx="20">
                  <c:v>939.34442239286705</c:v>
                </c:pt>
                <c:pt idx="21">
                  <c:v>973.98274796860392</c:v>
                </c:pt>
                <c:pt idx="22">
                  <c:v>1007.4468930163498</c:v>
                </c:pt>
                <c:pt idx="23">
                  <c:v>1039.7368575361047</c:v>
                </c:pt>
                <c:pt idx="24">
                  <c:v>1070.8526415278684</c:v>
                </c:pt>
                <c:pt idx="25">
                  <c:v>1100.7942449916411</c:v>
                </c:pt>
                <c:pt idx="26">
                  <c:v>1129.5616679274226</c:v>
                </c:pt>
                <c:pt idx="27">
                  <c:v>1157.1549103352131</c:v>
                </c:pt>
                <c:pt idx="28">
                  <c:v>1183.5739722150124</c:v>
                </c:pt>
                <c:pt idx="29">
                  <c:v>1208.8188535668207</c:v>
                </c:pt>
                <c:pt idx="30">
                  <c:v>1232.8895543906378</c:v>
                </c:pt>
                <c:pt idx="31">
                  <c:v>1255.786074686464</c:v>
                </c:pt>
                <c:pt idx="32">
                  <c:v>1277.5084144542991</c:v>
                </c:pt>
                <c:pt idx="33">
                  <c:v>1298.056573694143</c:v>
                </c:pt>
                <c:pt idx="34">
                  <c:v>1317.430552405996</c:v>
                </c:pt>
                <c:pt idx="35">
                  <c:v>1335.6303505898579</c:v>
                </c:pt>
                <c:pt idx="36">
                  <c:v>1352.6559682457287</c:v>
                </c:pt>
                <c:pt idx="37">
                  <c:v>1368.5074053736082</c:v>
                </c:pt>
                <c:pt idx="38">
                  <c:v>1383.1846619734968</c:v>
                </c:pt>
                <c:pt idx="39">
                  <c:v>1396.6877380453943</c:v>
                </c:pt>
                <c:pt idx="40">
                  <c:v>1409.0166335893005</c:v>
                </c:pt>
                <c:pt idx="41">
                  <c:v>1420.1713486052158</c:v>
                </c:pt>
                <c:pt idx="42">
                  <c:v>1430.15188309314</c:v>
                </c:pt>
                <c:pt idx="43">
                  <c:v>1438.9582370530732</c:v>
                </c:pt>
                <c:pt idx="44">
                  <c:v>1446.5904104850151</c:v>
                </c:pt>
                <c:pt idx="45">
                  <c:v>1453.0484033889661</c:v>
                </c:pt>
                <c:pt idx="46">
                  <c:v>1458.3322157649259</c:v>
                </c:pt>
                <c:pt idx="47">
                  <c:v>1462.4418476128947</c:v>
                </c:pt>
                <c:pt idx="48">
                  <c:v>1465.3772989328722</c:v>
                </c:pt>
                <c:pt idx="49">
                  <c:v>1467.1385697248588</c:v>
                </c:pt>
                <c:pt idx="50">
                  <c:v>1467.7256599888544</c:v>
                </c:pt>
                <c:pt idx="51">
                  <c:v>1467.1385697248588</c:v>
                </c:pt>
                <c:pt idx="52">
                  <c:v>1465.377298932872</c:v>
                </c:pt>
                <c:pt idx="53">
                  <c:v>1462.4418476128947</c:v>
                </c:pt>
                <c:pt idx="54">
                  <c:v>1458.3322157649256</c:v>
                </c:pt>
                <c:pt idx="55">
                  <c:v>1453.0484033889661</c:v>
                </c:pt>
                <c:pt idx="56">
                  <c:v>1446.5904104850151</c:v>
                </c:pt>
                <c:pt idx="57">
                  <c:v>1438.9582370530729</c:v>
                </c:pt>
                <c:pt idx="58">
                  <c:v>1430.1518830931402</c:v>
                </c:pt>
                <c:pt idx="59">
                  <c:v>1420.1713486052158</c:v>
                </c:pt>
                <c:pt idx="60">
                  <c:v>1409.0166335893005</c:v>
                </c:pt>
                <c:pt idx="61">
                  <c:v>1396.6877380453943</c:v>
                </c:pt>
                <c:pt idx="62">
                  <c:v>1383.184661973497</c:v>
                </c:pt>
                <c:pt idx="63">
                  <c:v>1368.5074053736084</c:v>
                </c:pt>
                <c:pt idx="64">
                  <c:v>1352.6559682457296</c:v>
                </c:pt>
                <c:pt idx="65">
                  <c:v>1335.6303505898586</c:v>
                </c:pt>
                <c:pt idx="66">
                  <c:v>1317.4305524059969</c:v>
                </c:pt>
                <c:pt idx="67">
                  <c:v>1298.0565736941444</c:v>
                </c:pt>
                <c:pt idx="68">
                  <c:v>1277.5084144543007</c:v>
                </c:pt>
                <c:pt idx="69">
                  <c:v>1255.7860746864653</c:v>
                </c:pt>
                <c:pt idx="70">
                  <c:v>1232.8895543906392</c:v>
                </c:pt>
                <c:pt idx="71">
                  <c:v>1208.8188535668228</c:v>
                </c:pt>
                <c:pt idx="72">
                  <c:v>1183.5739722150147</c:v>
                </c:pt>
                <c:pt idx="73">
                  <c:v>1157.1549103352149</c:v>
                </c:pt>
                <c:pt idx="74">
                  <c:v>1129.5616679274249</c:v>
                </c:pt>
                <c:pt idx="75">
                  <c:v>1100.7942449916441</c:v>
                </c:pt>
                <c:pt idx="76">
                  <c:v>1070.8526415278716</c:v>
                </c:pt>
                <c:pt idx="77">
                  <c:v>1039.7368575361079</c:v>
                </c:pt>
                <c:pt idx="78">
                  <c:v>1007.4468930163539</c:v>
                </c:pt>
                <c:pt idx="79">
                  <c:v>973.98274796860778</c:v>
                </c:pt>
                <c:pt idx="80">
                  <c:v>939.34442239287182</c:v>
                </c:pt>
                <c:pt idx="81">
                  <c:v>903.53191628914374</c:v>
                </c:pt>
                <c:pt idx="82">
                  <c:v>866.54522965742444</c:v>
                </c:pt>
                <c:pt idx="83">
                  <c:v>828.3843624977153</c:v>
                </c:pt>
                <c:pt idx="84">
                  <c:v>789.04931481001404</c:v>
                </c:pt>
                <c:pt idx="85">
                  <c:v>748.54008659432111</c:v>
                </c:pt>
                <c:pt idx="86">
                  <c:v>706.85667785063924</c:v>
                </c:pt>
                <c:pt idx="87">
                  <c:v>663.9990885789648</c:v>
                </c:pt>
                <c:pt idx="88">
                  <c:v>619.96731877929869</c:v>
                </c:pt>
                <c:pt idx="89">
                  <c:v>574.76136845164274</c:v>
                </c:pt>
                <c:pt idx="90">
                  <c:v>528.38123759599603</c:v>
                </c:pt>
                <c:pt idx="91">
                  <c:v>480.82692621235765</c:v>
                </c:pt>
                <c:pt idx="92">
                  <c:v>432.0984343007276</c:v>
                </c:pt>
                <c:pt idx="93">
                  <c:v>382.19576186110771</c:v>
                </c:pt>
                <c:pt idx="94">
                  <c:v>331.11890889349434</c:v>
                </c:pt>
                <c:pt idx="95">
                  <c:v>278.86787539789202</c:v>
                </c:pt>
                <c:pt idx="96">
                  <c:v>225.44266137429713</c:v>
                </c:pt>
                <c:pt idx="97">
                  <c:v>170.84326682271239</c:v>
                </c:pt>
                <c:pt idx="98">
                  <c:v>115.06969174313599</c:v>
                </c:pt>
                <c:pt idx="99">
                  <c:v>58.121936135567921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7C-45A3-8B02-2355937DD6BF}"/>
            </c:ext>
          </c:extLst>
        </c:ser>
        <c:ser>
          <c:idx val="1"/>
          <c:order val="1"/>
          <c:tx>
            <c:v>45 град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'45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40.816326530612237</c:v>
                </c:pt>
                <c:pt idx="2">
                  <c:v>81.632653061224474</c:v>
                </c:pt>
                <c:pt idx="3">
                  <c:v>122.4489795918367</c:v>
                </c:pt>
                <c:pt idx="4">
                  <c:v>163.26530612244895</c:v>
                </c:pt>
                <c:pt idx="5">
                  <c:v>204.08163265306118</c:v>
                </c:pt>
                <c:pt idx="6">
                  <c:v>244.89795918367344</c:v>
                </c:pt>
                <c:pt idx="7">
                  <c:v>285.71428571428567</c:v>
                </c:pt>
                <c:pt idx="8">
                  <c:v>326.53061224489795</c:v>
                </c:pt>
                <c:pt idx="9">
                  <c:v>367.34693877551018</c:v>
                </c:pt>
                <c:pt idx="10">
                  <c:v>408.16326530612241</c:v>
                </c:pt>
                <c:pt idx="11">
                  <c:v>448.9795918367347</c:v>
                </c:pt>
                <c:pt idx="12">
                  <c:v>489.79591836734693</c:v>
                </c:pt>
                <c:pt idx="13">
                  <c:v>530.61224489795916</c:v>
                </c:pt>
                <c:pt idx="14">
                  <c:v>571.42857142857133</c:v>
                </c:pt>
                <c:pt idx="15">
                  <c:v>612.2448979591835</c:v>
                </c:pt>
                <c:pt idx="16">
                  <c:v>653.06122448979579</c:v>
                </c:pt>
                <c:pt idx="17">
                  <c:v>693.87755102040796</c:v>
                </c:pt>
                <c:pt idx="18">
                  <c:v>734.69387755102014</c:v>
                </c:pt>
                <c:pt idx="19">
                  <c:v>775.51020408163231</c:v>
                </c:pt>
                <c:pt idx="20">
                  <c:v>816.32653061224448</c:v>
                </c:pt>
                <c:pt idx="21">
                  <c:v>857.14285714285666</c:v>
                </c:pt>
                <c:pt idx="22">
                  <c:v>897.95918367346883</c:v>
                </c:pt>
                <c:pt idx="23">
                  <c:v>938.775510204081</c:v>
                </c:pt>
                <c:pt idx="24">
                  <c:v>979.59183673469317</c:v>
                </c:pt>
                <c:pt idx="25">
                  <c:v>1020.4081632653055</c:v>
                </c:pt>
                <c:pt idx="26">
                  <c:v>1061.2244897959176</c:v>
                </c:pt>
                <c:pt idx="27">
                  <c:v>1102.0408163265297</c:v>
                </c:pt>
                <c:pt idx="28">
                  <c:v>1142.857142857142</c:v>
                </c:pt>
                <c:pt idx="29">
                  <c:v>1183.6734693877543</c:v>
                </c:pt>
                <c:pt idx="30">
                  <c:v>1224.4897959183663</c:v>
                </c:pt>
                <c:pt idx="31">
                  <c:v>1265.3061224489786</c:v>
                </c:pt>
                <c:pt idx="32">
                  <c:v>1306.1224489795907</c:v>
                </c:pt>
                <c:pt idx="33">
                  <c:v>1346.938775510203</c:v>
                </c:pt>
                <c:pt idx="34">
                  <c:v>1387.755102040815</c:v>
                </c:pt>
                <c:pt idx="35">
                  <c:v>1428.5714285714273</c:v>
                </c:pt>
                <c:pt idx="36">
                  <c:v>1469.3877551020394</c:v>
                </c:pt>
                <c:pt idx="37">
                  <c:v>1510.2040816326517</c:v>
                </c:pt>
                <c:pt idx="38">
                  <c:v>1551.0204081632639</c:v>
                </c:pt>
                <c:pt idx="39">
                  <c:v>1591.836734693876</c:v>
                </c:pt>
                <c:pt idx="40">
                  <c:v>1632.6530612244883</c:v>
                </c:pt>
                <c:pt idx="41">
                  <c:v>1673.4693877551003</c:v>
                </c:pt>
                <c:pt idx="42">
                  <c:v>1714.2857142857126</c:v>
                </c:pt>
                <c:pt idx="43">
                  <c:v>1755.1020408163247</c:v>
                </c:pt>
                <c:pt idx="44">
                  <c:v>1795.918367346937</c:v>
                </c:pt>
                <c:pt idx="45">
                  <c:v>1836.734693877549</c:v>
                </c:pt>
                <c:pt idx="46">
                  <c:v>1877.5510204081613</c:v>
                </c:pt>
                <c:pt idx="47">
                  <c:v>1918.3673469387736</c:v>
                </c:pt>
                <c:pt idx="48">
                  <c:v>1959.1836734693857</c:v>
                </c:pt>
                <c:pt idx="49">
                  <c:v>1999.999999999998</c:v>
                </c:pt>
                <c:pt idx="50">
                  <c:v>2040.81632653061</c:v>
                </c:pt>
                <c:pt idx="51">
                  <c:v>2081.6326530612223</c:v>
                </c:pt>
                <c:pt idx="52">
                  <c:v>2122.4489795918344</c:v>
                </c:pt>
                <c:pt idx="53">
                  <c:v>2163.2653061224464</c:v>
                </c:pt>
                <c:pt idx="54">
                  <c:v>2204.0816326530589</c:v>
                </c:pt>
                <c:pt idx="55">
                  <c:v>2244.897959183671</c:v>
                </c:pt>
                <c:pt idx="56">
                  <c:v>2285.7142857142835</c:v>
                </c:pt>
                <c:pt idx="57">
                  <c:v>2326.5306122448956</c:v>
                </c:pt>
                <c:pt idx="58">
                  <c:v>2367.3469387755076</c:v>
                </c:pt>
                <c:pt idx="59">
                  <c:v>2408.1632653061201</c:v>
                </c:pt>
                <c:pt idx="60">
                  <c:v>2448.9795918367322</c:v>
                </c:pt>
                <c:pt idx="61">
                  <c:v>2489.7959183673443</c:v>
                </c:pt>
                <c:pt idx="62">
                  <c:v>2530.6122448979568</c:v>
                </c:pt>
                <c:pt idx="63">
                  <c:v>2571.4285714285688</c:v>
                </c:pt>
                <c:pt idx="64">
                  <c:v>2612.2448979591809</c:v>
                </c:pt>
                <c:pt idx="65">
                  <c:v>2653.0612244897929</c:v>
                </c:pt>
                <c:pt idx="66">
                  <c:v>2693.8775510204055</c:v>
                </c:pt>
                <c:pt idx="67">
                  <c:v>2734.6938775510175</c:v>
                </c:pt>
                <c:pt idx="68">
                  <c:v>2775.5102040816296</c:v>
                </c:pt>
                <c:pt idx="69">
                  <c:v>2816.3265306122416</c:v>
                </c:pt>
                <c:pt idx="70">
                  <c:v>2857.1428571428542</c:v>
                </c:pt>
                <c:pt idx="71">
                  <c:v>2897.9591836734662</c:v>
                </c:pt>
                <c:pt idx="72">
                  <c:v>2938.7755102040783</c:v>
                </c:pt>
                <c:pt idx="73">
                  <c:v>2979.5918367346908</c:v>
                </c:pt>
                <c:pt idx="74">
                  <c:v>3020.4081632653028</c:v>
                </c:pt>
                <c:pt idx="75">
                  <c:v>3061.2244897959149</c:v>
                </c:pt>
                <c:pt idx="76">
                  <c:v>3102.040816326527</c:v>
                </c:pt>
                <c:pt idx="77">
                  <c:v>3142.8571428571395</c:v>
                </c:pt>
                <c:pt idx="78">
                  <c:v>3183.6734693877515</c:v>
                </c:pt>
                <c:pt idx="79">
                  <c:v>3224.4897959183636</c:v>
                </c:pt>
                <c:pt idx="80">
                  <c:v>3265.3061224489761</c:v>
                </c:pt>
                <c:pt idx="81">
                  <c:v>3306.1224489795882</c:v>
                </c:pt>
                <c:pt idx="82">
                  <c:v>3346.9387755102002</c:v>
                </c:pt>
                <c:pt idx="83">
                  <c:v>3387.7551020408123</c:v>
                </c:pt>
                <c:pt idx="84">
                  <c:v>3428.5714285714248</c:v>
                </c:pt>
                <c:pt idx="85">
                  <c:v>3469.3877551020369</c:v>
                </c:pt>
                <c:pt idx="86">
                  <c:v>3510.2040816326489</c:v>
                </c:pt>
                <c:pt idx="87">
                  <c:v>3551.0204081632614</c:v>
                </c:pt>
                <c:pt idx="88">
                  <c:v>3591.8367346938735</c:v>
                </c:pt>
                <c:pt idx="89">
                  <c:v>3632.6530612244856</c:v>
                </c:pt>
                <c:pt idx="90">
                  <c:v>3673.4693877550976</c:v>
                </c:pt>
                <c:pt idx="91">
                  <c:v>3714.2857142857101</c:v>
                </c:pt>
                <c:pt idx="92">
                  <c:v>3755.1020408163222</c:v>
                </c:pt>
                <c:pt idx="93">
                  <c:v>3795.9183673469342</c:v>
                </c:pt>
                <c:pt idx="94">
                  <c:v>3836.7346938775463</c:v>
                </c:pt>
                <c:pt idx="95">
                  <c:v>3877.5510204081588</c:v>
                </c:pt>
                <c:pt idx="96">
                  <c:v>3918.3673469387709</c:v>
                </c:pt>
                <c:pt idx="97">
                  <c:v>3959.1836734693829</c:v>
                </c:pt>
                <c:pt idx="98">
                  <c:v>3999.9999999999955</c:v>
                </c:pt>
                <c:pt idx="99">
                  <c:v>4040.8163265306075</c:v>
                </c:pt>
                <c:pt idx="100">
                  <c:v>4081.6326530612196</c:v>
                </c:pt>
              </c:numCache>
            </c:numRef>
          </c:xVal>
          <c:yVal>
            <c:numRef>
              <c:f>'45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40.408163265306101</c:v>
                </c:pt>
                <c:pt idx="2">
                  <c:v>79.999999999999957</c:v>
                </c:pt>
                <c:pt idx="3">
                  <c:v>118.77551020408157</c:v>
                </c:pt>
                <c:pt idx="4">
                  <c:v>156.73469387755094</c:v>
                </c:pt>
                <c:pt idx="5">
                  <c:v>193.87755102040808</c:v>
                </c:pt>
                <c:pt idx="6">
                  <c:v>230.20408163265299</c:v>
                </c:pt>
                <c:pt idx="7">
                  <c:v>265.71428571428561</c:v>
                </c:pt>
                <c:pt idx="8">
                  <c:v>300.40816326530603</c:v>
                </c:pt>
                <c:pt idx="9">
                  <c:v>334.28571428571422</c:v>
                </c:pt>
                <c:pt idx="10">
                  <c:v>367.34693877551013</c:v>
                </c:pt>
                <c:pt idx="11">
                  <c:v>399.59183673469374</c:v>
                </c:pt>
                <c:pt idx="12">
                  <c:v>431.02040816326519</c:v>
                </c:pt>
                <c:pt idx="13">
                  <c:v>461.63265306122435</c:v>
                </c:pt>
                <c:pt idx="14">
                  <c:v>491.42857142857122</c:v>
                </c:pt>
                <c:pt idx="15">
                  <c:v>520.40816326530592</c:v>
                </c:pt>
                <c:pt idx="16">
                  <c:v>548.57142857142821</c:v>
                </c:pt>
                <c:pt idx="17">
                  <c:v>575.91836734693845</c:v>
                </c:pt>
                <c:pt idx="18">
                  <c:v>602.44897959183641</c:v>
                </c:pt>
                <c:pt idx="19">
                  <c:v>628.16326530612218</c:v>
                </c:pt>
                <c:pt idx="20">
                  <c:v>653.06122448979556</c:v>
                </c:pt>
                <c:pt idx="21">
                  <c:v>677.14285714285677</c:v>
                </c:pt>
                <c:pt idx="22">
                  <c:v>700.40816326530569</c:v>
                </c:pt>
                <c:pt idx="23">
                  <c:v>722.85714285714243</c:v>
                </c:pt>
                <c:pt idx="24">
                  <c:v>744.48979591836689</c:v>
                </c:pt>
                <c:pt idx="25">
                  <c:v>765.30612244897907</c:v>
                </c:pt>
                <c:pt idx="26">
                  <c:v>785.30612244897907</c:v>
                </c:pt>
                <c:pt idx="27">
                  <c:v>804.48979591836655</c:v>
                </c:pt>
                <c:pt idx="28">
                  <c:v>822.85714285714221</c:v>
                </c:pt>
                <c:pt idx="29">
                  <c:v>840.40816326530535</c:v>
                </c:pt>
                <c:pt idx="30">
                  <c:v>857.14285714285643</c:v>
                </c:pt>
                <c:pt idx="31">
                  <c:v>873.06122448979545</c:v>
                </c:pt>
                <c:pt idx="32">
                  <c:v>888.16326530612173</c:v>
                </c:pt>
                <c:pt idx="33">
                  <c:v>902.44897959183618</c:v>
                </c:pt>
                <c:pt idx="34">
                  <c:v>915.91836734693811</c:v>
                </c:pt>
                <c:pt idx="35">
                  <c:v>928.57142857142799</c:v>
                </c:pt>
                <c:pt idx="36">
                  <c:v>940.40816326530535</c:v>
                </c:pt>
                <c:pt idx="37">
                  <c:v>951.42857142857088</c:v>
                </c:pt>
                <c:pt idx="38">
                  <c:v>961.63265306122378</c:v>
                </c:pt>
                <c:pt idx="39">
                  <c:v>971.02040816326473</c:v>
                </c:pt>
                <c:pt idx="40">
                  <c:v>979.59183673469317</c:v>
                </c:pt>
                <c:pt idx="41">
                  <c:v>987.34693877550967</c:v>
                </c:pt>
                <c:pt idx="42">
                  <c:v>994.28571428571365</c:v>
                </c:pt>
                <c:pt idx="43">
                  <c:v>1000.4081632653056</c:v>
                </c:pt>
                <c:pt idx="44">
                  <c:v>1005.714285714285</c:v>
                </c:pt>
                <c:pt idx="45">
                  <c:v>1010.2040816326526</c:v>
                </c:pt>
                <c:pt idx="46">
                  <c:v>1013.8775510204076</c:v>
                </c:pt>
                <c:pt idx="47">
                  <c:v>1016.7346938775504</c:v>
                </c:pt>
                <c:pt idx="48">
                  <c:v>1018.775510204081</c:v>
                </c:pt>
                <c:pt idx="49">
                  <c:v>1019.9999999999995</c:v>
                </c:pt>
                <c:pt idx="50">
                  <c:v>1020.4081632653056</c:v>
                </c:pt>
                <c:pt idx="51">
                  <c:v>1019.9999999999995</c:v>
                </c:pt>
                <c:pt idx="52">
                  <c:v>1018.7755102040812</c:v>
                </c:pt>
                <c:pt idx="53">
                  <c:v>1016.7346938775509</c:v>
                </c:pt>
                <c:pt idx="54">
                  <c:v>1013.877551020408</c:v>
                </c:pt>
                <c:pt idx="55">
                  <c:v>1010.2040816326528</c:v>
                </c:pt>
                <c:pt idx="56">
                  <c:v>1005.7142857142856</c:v>
                </c:pt>
                <c:pt idx="57">
                  <c:v>1000.4081632653058</c:v>
                </c:pt>
                <c:pt idx="58">
                  <c:v>994.28571428571399</c:v>
                </c:pt>
                <c:pt idx="59">
                  <c:v>987.34693877551035</c:v>
                </c:pt>
                <c:pt idx="60">
                  <c:v>979.59183673469397</c:v>
                </c:pt>
                <c:pt idx="61">
                  <c:v>971.0204081632653</c:v>
                </c:pt>
                <c:pt idx="62">
                  <c:v>961.63265306122435</c:v>
                </c:pt>
                <c:pt idx="63">
                  <c:v>951.42857142857179</c:v>
                </c:pt>
                <c:pt idx="64">
                  <c:v>940.40816326530648</c:v>
                </c:pt>
                <c:pt idx="65">
                  <c:v>928.5714285714289</c:v>
                </c:pt>
                <c:pt idx="66">
                  <c:v>915.91836734693902</c:v>
                </c:pt>
                <c:pt idx="67">
                  <c:v>902.44897959183731</c:v>
                </c:pt>
                <c:pt idx="68">
                  <c:v>888.16326530612309</c:v>
                </c:pt>
                <c:pt idx="69">
                  <c:v>873.06122448979659</c:v>
                </c:pt>
                <c:pt idx="70">
                  <c:v>857.14285714285825</c:v>
                </c:pt>
                <c:pt idx="71">
                  <c:v>840.40816326530694</c:v>
                </c:pt>
                <c:pt idx="72">
                  <c:v>822.85714285714357</c:v>
                </c:pt>
                <c:pt idx="73">
                  <c:v>804.48979591836815</c:v>
                </c:pt>
                <c:pt idx="74">
                  <c:v>785.30612244898066</c:v>
                </c:pt>
                <c:pt idx="75">
                  <c:v>765.30612244898066</c:v>
                </c:pt>
                <c:pt idx="76">
                  <c:v>744.4897959183686</c:v>
                </c:pt>
                <c:pt idx="77">
                  <c:v>722.85714285714403</c:v>
                </c:pt>
                <c:pt idx="78">
                  <c:v>700.40816326530785</c:v>
                </c:pt>
                <c:pt idx="79">
                  <c:v>677.1428571428587</c:v>
                </c:pt>
                <c:pt idx="80">
                  <c:v>653.0612244897975</c:v>
                </c:pt>
                <c:pt idx="81">
                  <c:v>628.16326530612378</c:v>
                </c:pt>
                <c:pt idx="82">
                  <c:v>602.44897959183891</c:v>
                </c:pt>
                <c:pt idx="83">
                  <c:v>575.91836734694061</c:v>
                </c:pt>
                <c:pt idx="84">
                  <c:v>548.57142857143072</c:v>
                </c:pt>
                <c:pt idx="85">
                  <c:v>520.4081632653083</c:v>
                </c:pt>
                <c:pt idx="86">
                  <c:v>491.42857142857383</c:v>
                </c:pt>
                <c:pt idx="87">
                  <c:v>461.63265306122685</c:v>
                </c:pt>
                <c:pt idx="88">
                  <c:v>431.0204081632678</c:v>
                </c:pt>
                <c:pt idx="89">
                  <c:v>399.59183673469624</c:v>
                </c:pt>
                <c:pt idx="90">
                  <c:v>367.34693877551263</c:v>
                </c:pt>
                <c:pt idx="91">
                  <c:v>334.2857142857174</c:v>
                </c:pt>
                <c:pt idx="92">
                  <c:v>300.40816326530876</c:v>
                </c:pt>
                <c:pt idx="93">
                  <c:v>265.71428571428942</c:v>
                </c:pt>
                <c:pt idx="94">
                  <c:v>230.2040816326562</c:v>
                </c:pt>
                <c:pt idx="95">
                  <c:v>193.87755102041183</c:v>
                </c:pt>
                <c:pt idx="96">
                  <c:v>156.73469387755449</c:v>
                </c:pt>
                <c:pt idx="97">
                  <c:v>118.77551020408509</c:v>
                </c:pt>
                <c:pt idx="98">
                  <c:v>80.000000000003638</c:v>
                </c:pt>
                <c:pt idx="99">
                  <c:v>40.408163265309668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7C-45A3-8B02-2355937DD6BF}"/>
            </c:ext>
          </c:extLst>
        </c:ser>
        <c:ser>
          <c:idx val="2"/>
          <c:order val="2"/>
          <c:tx>
            <c:v>30 град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35.347975664670962</c:v>
                </c:pt>
                <c:pt idx="2">
                  <c:v>70.695951329341923</c:v>
                </c:pt>
                <c:pt idx="3">
                  <c:v>106.04392699401288</c:v>
                </c:pt>
                <c:pt idx="4">
                  <c:v>141.39190265868385</c:v>
                </c:pt>
                <c:pt idx="5">
                  <c:v>176.73987832335482</c:v>
                </c:pt>
                <c:pt idx="6">
                  <c:v>212.08785398802578</c:v>
                </c:pt>
                <c:pt idx="7">
                  <c:v>247.43582965269675</c:v>
                </c:pt>
                <c:pt idx="8">
                  <c:v>282.78380531736775</c:v>
                </c:pt>
                <c:pt idx="9">
                  <c:v>318.13178098203872</c:v>
                </c:pt>
                <c:pt idx="10">
                  <c:v>353.47975664670963</c:v>
                </c:pt>
                <c:pt idx="11">
                  <c:v>388.82773231138054</c:v>
                </c:pt>
                <c:pt idx="12">
                  <c:v>424.17570797605151</c:v>
                </c:pt>
                <c:pt idx="13">
                  <c:v>459.52368364072242</c:v>
                </c:pt>
                <c:pt idx="14">
                  <c:v>494.87165930539334</c:v>
                </c:pt>
                <c:pt idx="15">
                  <c:v>530.21963497006425</c:v>
                </c:pt>
                <c:pt idx="16">
                  <c:v>565.56761063473527</c:v>
                </c:pt>
                <c:pt idx="17">
                  <c:v>600.91558629940619</c:v>
                </c:pt>
                <c:pt idx="18">
                  <c:v>636.2635619640771</c:v>
                </c:pt>
                <c:pt idx="19">
                  <c:v>671.61153762874801</c:v>
                </c:pt>
                <c:pt idx="20">
                  <c:v>706.95951329341892</c:v>
                </c:pt>
                <c:pt idx="21">
                  <c:v>742.30748895808983</c:v>
                </c:pt>
                <c:pt idx="22">
                  <c:v>777.65546462276086</c:v>
                </c:pt>
                <c:pt idx="23">
                  <c:v>813.00344028743177</c:v>
                </c:pt>
                <c:pt idx="24">
                  <c:v>848.35141595210268</c:v>
                </c:pt>
                <c:pt idx="25">
                  <c:v>883.6993916167736</c:v>
                </c:pt>
                <c:pt idx="26">
                  <c:v>919.04736728144451</c:v>
                </c:pt>
                <c:pt idx="27">
                  <c:v>954.39534294611553</c:v>
                </c:pt>
                <c:pt idx="28">
                  <c:v>989.74331861078645</c:v>
                </c:pt>
                <c:pt idx="29">
                  <c:v>1025.0912942754574</c:v>
                </c:pt>
                <c:pt idx="30">
                  <c:v>1060.4392699401283</c:v>
                </c:pt>
                <c:pt idx="31">
                  <c:v>1095.7872456047992</c:v>
                </c:pt>
                <c:pt idx="32">
                  <c:v>1131.1352212694701</c:v>
                </c:pt>
                <c:pt idx="33">
                  <c:v>1166.483196934141</c:v>
                </c:pt>
                <c:pt idx="34">
                  <c:v>1201.8311725988119</c:v>
                </c:pt>
                <c:pt idx="35">
                  <c:v>1237.1791482634828</c:v>
                </c:pt>
                <c:pt idx="36">
                  <c:v>1272.527123928154</c:v>
                </c:pt>
                <c:pt idx="37">
                  <c:v>1307.8750995928249</c:v>
                </c:pt>
                <c:pt idx="38">
                  <c:v>1343.2230752574958</c:v>
                </c:pt>
                <c:pt idx="39">
                  <c:v>1378.5710509221667</c:v>
                </c:pt>
                <c:pt idx="40">
                  <c:v>1413.9190265868376</c:v>
                </c:pt>
                <c:pt idx="41">
                  <c:v>1449.2670022515085</c:v>
                </c:pt>
                <c:pt idx="42">
                  <c:v>1484.6149779161794</c:v>
                </c:pt>
                <c:pt idx="43">
                  <c:v>1519.9629535808504</c:v>
                </c:pt>
                <c:pt idx="44">
                  <c:v>1555.3109292455213</c:v>
                </c:pt>
                <c:pt idx="45">
                  <c:v>1590.6589049101922</c:v>
                </c:pt>
                <c:pt idx="46">
                  <c:v>1626.0068805748631</c:v>
                </c:pt>
                <c:pt idx="47">
                  <c:v>1661.3548562395342</c:v>
                </c:pt>
                <c:pt idx="48">
                  <c:v>1696.7028319042051</c:v>
                </c:pt>
                <c:pt idx="49">
                  <c:v>1732.0508075688761</c:v>
                </c:pt>
                <c:pt idx="50">
                  <c:v>1767.398783233547</c:v>
                </c:pt>
                <c:pt idx="51">
                  <c:v>1802.7467588982179</c:v>
                </c:pt>
                <c:pt idx="52">
                  <c:v>1838.0947345628888</c:v>
                </c:pt>
                <c:pt idx="53">
                  <c:v>1873.4427102275597</c:v>
                </c:pt>
                <c:pt idx="54">
                  <c:v>1908.7906858922306</c:v>
                </c:pt>
                <c:pt idx="55">
                  <c:v>1944.1386615569015</c:v>
                </c:pt>
                <c:pt idx="56">
                  <c:v>1979.4866372215724</c:v>
                </c:pt>
                <c:pt idx="57">
                  <c:v>2014.8346128862433</c:v>
                </c:pt>
                <c:pt idx="58">
                  <c:v>2050.1825885509143</c:v>
                </c:pt>
                <c:pt idx="59">
                  <c:v>2085.5305642155854</c:v>
                </c:pt>
                <c:pt idx="60">
                  <c:v>2120.8785398802561</c:v>
                </c:pt>
                <c:pt idx="61">
                  <c:v>2156.2265155449272</c:v>
                </c:pt>
                <c:pt idx="62">
                  <c:v>2191.5744912095979</c:v>
                </c:pt>
                <c:pt idx="63">
                  <c:v>2226.922466874269</c:v>
                </c:pt>
                <c:pt idx="64">
                  <c:v>2262.2704425389402</c:v>
                </c:pt>
                <c:pt idx="65">
                  <c:v>2297.6184182036109</c:v>
                </c:pt>
                <c:pt idx="66">
                  <c:v>2332.966393868282</c:v>
                </c:pt>
                <c:pt idx="67">
                  <c:v>2368.3143695329527</c:v>
                </c:pt>
                <c:pt idx="68">
                  <c:v>2403.6623451976238</c:v>
                </c:pt>
                <c:pt idx="69">
                  <c:v>2439.0103208622945</c:v>
                </c:pt>
                <c:pt idx="70">
                  <c:v>2474.3582965269657</c:v>
                </c:pt>
                <c:pt idx="71">
                  <c:v>2509.7062721916363</c:v>
                </c:pt>
                <c:pt idx="72">
                  <c:v>2545.0542478563075</c:v>
                </c:pt>
                <c:pt idx="73">
                  <c:v>2580.4022235209782</c:v>
                </c:pt>
                <c:pt idx="74">
                  <c:v>2615.7501991856493</c:v>
                </c:pt>
                <c:pt idx="75">
                  <c:v>2651.0981748503204</c:v>
                </c:pt>
                <c:pt idx="76">
                  <c:v>2686.4461505149911</c:v>
                </c:pt>
                <c:pt idx="77">
                  <c:v>2721.7941261796623</c:v>
                </c:pt>
                <c:pt idx="78">
                  <c:v>2757.142101844333</c:v>
                </c:pt>
                <c:pt idx="79">
                  <c:v>2792.4900775090041</c:v>
                </c:pt>
                <c:pt idx="80">
                  <c:v>2827.8380531736752</c:v>
                </c:pt>
                <c:pt idx="81">
                  <c:v>2863.1860288383459</c:v>
                </c:pt>
                <c:pt idx="82">
                  <c:v>2898.5340045030171</c:v>
                </c:pt>
                <c:pt idx="83">
                  <c:v>2933.8819801676882</c:v>
                </c:pt>
                <c:pt idx="84">
                  <c:v>2969.2299558323589</c:v>
                </c:pt>
                <c:pt idx="85">
                  <c:v>3004.57793149703</c:v>
                </c:pt>
                <c:pt idx="86">
                  <c:v>3039.9259071617007</c:v>
                </c:pt>
                <c:pt idx="87">
                  <c:v>3075.2738828263718</c:v>
                </c:pt>
                <c:pt idx="88">
                  <c:v>3110.6218584910425</c:v>
                </c:pt>
                <c:pt idx="89">
                  <c:v>3145.9698341557137</c:v>
                </c:pt>
                <c:pt idx="90">
                  <c:v>3181.3178098203844</c:v>
                </c:pt>
                <c:pt idx="91">
                  <c:v>3216.6657854850555</c:v>
                </c:pt>
                <c:pt idx="92">
                  <c:v>3252.0137611497262</c:v>
                </c:pt>
                <c:pt idx="93">
                  <c:v>3287.3617368143973</c:v>
                </c:pt>
                <c:pt idx="94">
                  <c:v>3322.7097124790685</c:v>
                </c:pt>
                <c:pt idx="95">
                  <c:v>3358.0576881437391</c:v>
                </c:pt>
                <c:pt idx="96">
                  <c:v>3393.4056638084103</c:v>
                </c:pt>
                <c:pt idx="97">
                  <c:v>3428.753639473081</c:v>
                </c:pt>
                <c:pt idx="98">
                  <c:v>3464.1016151377521</c:v>
                </c:pt>
                <c:pt idx="99">
                  <c:v>3499.4495908024228</c:v>
                </c:pt>
                <c:pt idx="100">
                  <c:v>3534.7975664670939</c:v>
                </c:pt>
              </c:numCache>
            </c:numRef>
          </c:xVal>
          <c:yVal>
            <c:numRef>
              <c:f>'30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20.204081632653054</c:v>
                </c:pt>
                <c:pt idx="2">
                  <c:v>39.999999999999986</c:v>
                </c:pt>
                <c:pt idx="3">
                  <c:v>59.387755102040785</c:v>
                </c:pt>
                <c:pt idx="4">
                  <c:v>78.367346938775484</c:v>
                </c:pt>
                <c:pt idx="5">
                  <c:v>96.938775510204039</c:v>
                </c:pt>
                <c:pt idx="6">
                  <c:v>115.10204081632651</c:v>
                </c:pt>
                <c:pt idx="7">
                  <c:v>132.8571428571428</c:v>
                </c:pt>
                <c:pt idx="8">
                  <c:v>150.20408163265304</c:v>
                </c:pt>
                <c:pt idx="9">
                  <c:v>167.14285714285711</c:v>
                </c:pt>
                <c:pt idx="10">
                  <c:v>183.67346938775503</c:v>
                </c:pt>
                <c:pt idx="11">
                  <c:v>199.79591836734687</c:v>
                </c:pt>
                <c:pt idx="12">
                  <c:v>215.51020408163254</c:v>
                </c:pt>
                <c:pt idx="13">
                  <c:v>230.81632653061214</c:v>
                </c:pt>
                <c:pt idx="14">
                  <c:v>245.71428571428558</c:v>
                </c:pt>
                <c:pt idx="15">
                  <c:v>260.2040816326529</c:v>
                </c:pt>
                <c:pt idx="16">
                  <c:v>274.28571428571411</c:v>
                </c:pt>
                <c:pt idx="17">
                  <c:v>287.95918367346923</c:v>
                </c:pt>
                <c:pt idx="18">
                  <c:v>301.2244897959182</c:v>
                </c:pt>
                <c:pt idx="19">
                  <c:v>314.08163265306104</c:v>
                </c:pt>
                <c:pt idx="20">
                  <c:v>326.53061224489772</c:v>
                </c:pt>
                <c:pt idx="21">
                  <c:v>338.57142857142833</c:v>
                </c:pt>
                <c:pt idx="22">
                  <c:v>350.20408163265284</c:v>
                </c:pt>
                <c:pt idx="23">
                  <c:v>361.42857142857122</c:v>
                </c:pt>
                <c:pt idx="24">
                  <c:v>372.24489795918339</c:v>
                </c:pt>
                <c:pt idx="25">
                  <c:v>382.65306122448953</c:v>
                </c:pt>
                <c:pt idx="26">
                  <c:v>392.65306122448953</c:v>
                </c:pt>
                <c:pt idx="27">
                  <c:v>402.24489795918339</c:v>
                </c:pt>
                <c:pt idx="28">
                  <c:v>411.4285714285711</c:v>
                </c:pt>
                <c:pt idx="29">
                  <c:v>420.20408163265279</c:v>
                </c:pt>
                <c:pt idx="30">
                  <c:v>428.57142857142833</c:v>
                </c:pt>
                <c:pt idx="31">
                  <c:v>436.53061224489761</c:v>
                </c:pt>
                <c:pt idx="32">
                  <c:v>444.08163265306098</c:v>
                </c:pt>
                <c:pt idx="33">
                  <c:v>451.22448979591798</c:v>
                </c:pt>
                <c:pt idx="34">
                  <c:v>457.95918367346911</c:v>
                </c:pt>
                <c:pt idx="35">
                  <c:v>464.28571428571405</c:v>
                </c:pt>
                <c:pt idx="36">
                  <c:v>470.20408163265279</c:v>
                </c:pt>
                <c:pt idx="37">
                  <c:v>475.71428571428544</c:v>
                </c:pt>
                <c:pt idx="38">
                  <c:v>480.81632653061189</c:v>
                </c:pt>
                <c:pt idx="39">
                  <c:v>485.51020408163237</c:v>
                </c:pt>
                <c:pt idx="40">
                  <c:v>489.7959183673467</c:v>
                </c:pt>
                <c:pt idx="41">
                  <c:v>493.67346938775484</c:v>
                </c:pt>
                <c:pt idx="42">
                  <c:v>497.14285714285694</c:v>
                </c:pt>
                <c:pt idx="43">
                  <c:v>500.20408163265279</c:v>
                </c:pt>
                <c:pt idx="44">
                  <c:v>502.85714285714261</c:v>
                </c:pt>
                <c:pt idx="45">
                  <c:v>505.10204081632634</c:v>
                </c:pt>
                <c:pt idx="46">
                  <c:v>506.93877551020381</c:v>
                </c:pt>
                <c:pt idx="47">
                  <c:v>508.36734693877531</c:v>
                </c:pt>
                <c:pt idx="48">
                  <c:v>509.38775510204056</c:v>
                </c:pt>
                <c:pt idx="49">
                  <c:v>509.99999999999983</c:v>
                </c:pt>
                <c:pt idx="50">
                  <c:v>510.20408163265296</c:v>
                </c:pt>
                <c:pt idx="51">
                  <c:v>509.99999999999977</c:v>
                </c:pt>
                <c:pt idx="52">
                  <c:v>509.38775510204061</c:v>
                </c:pt>
                <c:pt idx="53">
                  <c:v>508.36734693877543</c:v>
                </c:pt>
                <c:pt idx="54">
                  <c:v>506.93877551020398</c:v>
                </c:pt>
                <c:pt idx="55">
                  <c:v>505.10204081632628</c:v>
                </c:pt>
                <c:pt idx="56">
                  <c:v>502.85714285714289</c:v>
                </c:pt>
                <c:pt idx="57">
                  <c:v>500.20408163265301</c:v>
                </c:pt>
                <c:pt idx="58">
                  <c:v>497.14285714285711</c:v>
                </c:pt>
                <c:pt idx="59">
                  <c:v>493.67346938775495</c:v>
                </c:pt>
                <c:pt idx="60">
                  <c:v>489.79591836734699</c:v>
                </c:pt>
                <c:pt idx="61">
                  <c:v>485.51020408163265</c:v>
                </c:pt>
                <c:pt idx="62">
                  <c:v>480.81632653061217</c:v>
                </c:pt>
                <c:pt idx="63">
                  <c:v>475.71428571428589</c:v>
                </c:pt>
                <c:pt idx="64">
                  <c:v>470.20408163265324</c:v>
                </c:pt>
                <c:pt idx="65">
                  <c:v>464.28571428571433</c:v>
                </c:pt>
                <c:pt idx="66">
                  <c:v>457.95918367346962</c:v>
                </c:pt>
                <c:pt idx="67">
                  <c:v>451.22448979591854</c:v>
                </c:pt>
                <c:pt idx="68">
                  <c:v>444.08163265306132</c:v>
                </c:pt>
                <c:pt idx="69">
                  <c:v>436.53061224489807</c:v>
                </c:pt>
                <c:pt idx="70">
                  <c:v>428.57142857142878</c:v>
                </c:pt>
                <c:pt idx="71">
                  <c:v>420.20408163265324</c:v>
                </c:pt>
                <c:pt idx="72">
                  <c:v>411.42857142857156</c:v>
                </c:pt>
                <c:pt idx="73">
                  <c:v>402.24489795918407</c:v>
                </c:pt>
                <c:pt idx="74">
                  <c:v>392.65306122449033</c:v>
                </c:pt>
                <c:pt idx="75">
                  <c:v>382.65306122449033</c:v>
                </c:pt>
                <c:pt idx="76">
                  <c:v>372.2448979591843</c:v>
                </c:pt>
                <c:pt idx="77">
                  <c:v>361.42857142857201</c:v>
                </c:pt>
                <c:pt idx="78">
                  <c:v>350.2040816326537</c:v>
                </c:pt>
                <c:pt idx="79">
                  <c:v>338.5714285714289</c:v>
                </c:pt>
                <c:pt idx="80">
                  <c:v>326.53061224489852</c:v>
                </c:pt>
                <c:pt idx="81">
                  <c:v>314.08163265306166</c:v>
                </c:pt>
                <c:pt idx="82">
                  <c:v>301.224489795919</c:v>
                </c:pt>
                <c:pt idx="83">
                  <c:v>287.95918367347008</c:v>
                </c:pt>
                <c:pt idx="84">
                  <c:v>274.28571428571513</c:v>
                </c:pt>
                <c:pt idx="85">
                  <c:v>260.20408163265392</c:v>
                </c:pt>
                <c:pt idx="86">
                  <c:v>245.71428571428646</c:v>
                </c:pt>
                <c:pt idx="87">
                  <c:v>230.8163265306132</c:v>
                </c:pt>
                <c:pt idx="88">
                  <c:v>215.51020408163345</c:v>
                </c:pt>
                <c:pt idx="89">
                  <c:v>199.79591836734767</c:v>
                </c:pt>
                <c:pt idx="90">
                  <c:v>183.67346938775609</c:v>
                </c:pt>
                <c:pt idx="91">
                  <c:v>167.14285714285802</c:v>
                </c:pt>
                <c:pt idx="92">
                  <c:v>150.20408163265392</c:v>
                </c:pt>
                <c:pt idx="93">
                  <c:v>132.8571428571438</c:v>
                </c:pt>
                <c:pt idx="94">
                  <c:v>115.10204081632764</c:v>
                </c:pt>
                <c:pt idx="95">
                  <c:v>96.938775510205005</c:v>
                </c:pt>
                <c:pt idx="96">
                  <c:v>78.367346938776564</c:v>
                </c:pt>
                <c:pt idx="97">
                  <c:v>59.38775510204232</c:v>
                </c:pt>
                <c:pt idx="98">
                  <c:v>40.000000000001364</c:v>
                </c:pt>
                <c:pt idx="99">
                  <c:v>20.204081632654379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7C-45A3-8B02-2355937DD6BF}"/>
            </c:ext>
          </c:extLst>
        </c:ser>
        <c:ser>
          <c:idx val="3"/>
          <c:order val="3"/>
          <c:tx>
            <c:v>15 град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 град'!$B$2:$B$102</c:f>
              <c:numCache>
                <c:formatCode>General</c:formatCode>
                <c:ptCount val="101"/>
                <c:pt idx="0">
                  <c:v>0</c:v>
                </c:pt>
                <c:pt idx="1">
                  <c:v>20.408163265306115</c:v>
                </c:pt>
                <c:pt idx="2">
                  <c:v>40.81632653061223</c:v>
                </c:pt>
                <c:pt idx="3">
                  <c:v>61.224489795918345</c:v>
                </c:pt>
                <c:pt idx="4">
                  <c:v>81.63265306122446</c:v>
                </c:pt>
                <c:pt idx="5">
                  <c:v>102.04081632653057</c:v>
                </c:pt>
                <c:pt idx="6">
                  <c:v>122.44897959183669</c:v>
                </c:pt>
                <c:pt idx="7">
                  <c:v>142.8571428571428</c:v>
                </c:pt>
                <c:pt idx="8">
                  <c:v>163.26530612244892</c:v>
                </c:pt>
                <c:pt idx="9">
                  <c:v>183.67346938775503</c:v>
                </c:pt>
                <c:pt idx="10">
                  <c:v>204.08163265306115</c:v>
                </c:pt>
                <c:pt idx="11">
                  <c:v>224.48979591836726</c:v>
                </c:pt>
                <c:pt idx="12">
                  <c:v>244.89795918367338</c:v>
                </c:pt>
                <c:pt idx="13">
                  <c:v>265.30612244897952</c:v>
                </c:pt>
                <c:pt idx="14">
                  <c:v>285.71428571428567</c:v>
                </c:pt>
                <c:pt idx="15">
                  <c:v>306.12244897959181</c:v>
                </c:pt>
                <c:pt idx="16">
                  <c:v>326.53061224489795</c:v>
                </c:pt>
                <c:pt idx="17">
                  <c:v>346.9387755102041</c:v>
                </c:pt>
                <c:pt idx="18">
                  <c:v>367.34693877551024</c:v>
                </c:pt>
                <c:pt idx="19">
                  <c:v>387.75510204081638</c:v>
                </c:pt>
                <c:pt idx="20">
                  <c:v>408.16326530612247</c:v>
                </c:pt>
                <c:pt idx="21">
                  <c:v>428.57142857142861</c:v>
                </c:pt>
                <c:pt idx="22">
                  <c:v>448.97959183673476</c:v>
                </c:pt>
                <c:pt idx="23">
                  <c:v>469.3877551020409</c:v>
                </c:pt>
                <c:pt idx="24">
                  <c:v>489.79591836734704</c:v>
                </c:pt>
                <c:pt idx="25">
                  <c:v>510.20408163265319</c:v>
                </c:pt>
                <c:pt idx="26">
                  <c:v>530.61224489795927</c:v>
                </c:pt>
                <c:pt idx="27">
                  <c:v>551.02040816326542</c:v>
                </c:pt>
                <c:pt idx="28">
                  <c:v>571.42857142857156</c:v>
                </c:pt>
                <c:pt idx="29">
                  <c:v>591.8367346938777</c:v>
                </c:pt>
                <c:pt idx="30">
                  <c:v>612.24489795918385</c:v>
                </c:pt>
                <c:pt idx="31">
                  <c:v>632.65306122448999</c:v>
                </c:pt>
                <c:pt idx="32">
                  <c:v>653.06122448979613</c:v>
                </c:pt>
                <c:pt idx="33">
                  <c:v>673.46938775510228</c:v>
                </c:pt>
                <c:pt idx="34">
                  <c:v>693.87755102040842</c:v>
                </c:pt>
                <c:pt idx="35">
                  <c:v>714.28571428571456</c:v>
                </c:pt>
                <c:pt idx="36">
                  <c:v>734.69387755102071</c:v>
                </c:pt>
                <c:pt idx="37">
                  <c:v>755.10204081632685</c:v>
                </c:pt>
                <c:pt idx="38">
                  <c:v>775.51020408163288</c:v>
                </c:pt>
                <c:pt idx="39">
                  <c:v>795.91836734693902</c:v>
                </c:pt>
                <c:pt idx="40">
                  <c:v>816.32653061224516</c:v>
                </c:pt>
                <c:pt idx="41">
                  <c:v>836.73469387755131</c:v>
                </c:pt>
                <c:pt idx="42">
                  <c:v>857.14285714285745</c:v>
                </c:pt>
                <c:pt idx="43">
                  <c:v>877.55102040816359</c:v>
                </c:pt>
                <c:pt idx="44">
                  <c:v>897.95918367346974</c:v>
                </c:pt>
                <c:pt idx="45">
                  <c:v>918.36734693877588</c:v>
                </c:pt>
                <c:pt idx="46">
                  <c:v>938.77551020408202</c:v>
                </c:pt>
                <c:pt idx="47">
                  <c:v>959.18367346938817</c:v>
                </c:pt>
                <c:pt idx="48">
                  <c:v>979.59183673469431</c:v>
                </c:pt>
                <c:pt idx="49">
                  <c:v>1000.0000000000003</c:v>
                </c:pt>
                <c:pt idx="50">
                  <c:v>1020.4081632653065</c:v>
                </c:pt>
                <c:pt idx="51">
                  <c:v>1040.8163265306127</c:v>
                </c:pt>
                <c:pt idx="52">
                  <c:v>1061.2244897959188</c:v>
                </c:pt>
                <c:pt idx="53">
                  <c:v>1081.632653061225</c:v>
                </c:pt>
                <c:pt idx="54">
                  <c:v>1102.0408163265311</c:v>
                </c:pt>
                <c:pt idx="55">
                  <c:v>1122.4489795918373</c:v>
                </c:pt>
                <c:pt idx="56">
                  <c:v>1142.8571428571433</c:v>
                </c:pt>
                <c:pt idx="57">
                  <c:v>1163.2653061224496</c:v>
                </c:pt>
                <c:pt idx="58">
                  <c:v>1183.6734693877556</c:v>
                </c:pt>
                <c:pt idx="59">
                  <c:v>1204.0816326530617</c:v>
                </c:pt>
                <c:pt idx="60">
                  <c:v>1224.4897959183679</c:v>
                </c:pt>
                <c:pt idx="61">
                  <c:v>1244.8979591836739</c:v>
                </c:pt>
                <c:pt idx="62">
                  <c:v>1265.3061224489802</c:v>
                </c:pt>
                <c:pt idx="63">
                  <c:v>1285.7142857142862</c:v>
                </c:pt>
                <c:pt idx="64">
                  <c:v>1306.1224489795925</c:v>
                </c:pt>
                <c:pt idx="65">
                  <c:v>1326.5306122448985</c:v>
                </c:pt>
                <c:pt idx="66">
                  <c:v>1346.9387755102048</c:v>
                </c:pt>
                <c:pt idx="67">
                  <c:v>1367.3469387755108</c:v>
                </c:pt>
                <c:pt idx="68">
                  <c:v>1387.7551020408171</c:v>
                </c:pt>
                <c:pt idx="69">
                  <c:v>1408.1632653061231</c:v>
                </c:pt>
                <c:pt idx="70">
                  <c:v>1428.5714285714294</c:v>
                </c:pt>
                <c:pt idx="71">
                  <c:v>1448.9795918367354</c:v>
                </c:pt>
                <c:pt idx="72">
                  <c:v>1469.3877551020416</c:v>
                </c:pt>
                <c:pt idx="73">
                  <c:v>1489.7959183673477</c:v>
                </c:pt>
                <c:pt idx="74">
                  <c:v>1510.2040816326539</c:v>
                </c:pt>
                <c:pt idx="75">
                  <c:v>1530.61224489796</c:v>
                </c:pt>
                <c:pt idx="76">
                  <c:v>1551.0204081632662</c:v>
                </c:pt>
                <c:pt idx="77">
                  <c:v>1571.428571428572</c:v>
                </c:pt>
                <c:pt idx="78">
                  <c:v>1591.836734693878</c:v>
                </c:pt>
                <c:pt idx="79">
                  <c:v>1612.2448979591841</c:v>
                </c:pt>
                <c:pt idx="80">
                  <c:v>1632.6530612244899</c:v>
                </c:pt>
                <c:pt idx="81">
                  <c:v>1653.0612244897959</c:v>
                </c:pt>
                <c:pt idx="82">
                  <c:v>1673.4693877551019</c:v>
                </c:pt>
                <c:pt idx="83">
                  <c:v>1693.877551020408</c:v>
                </c:pt>
                <c:pt idx="84">
                  <c:v>1714.2857142857138</c:v>
                </c:pt>
                <c:pt idx="85">
                  <c:v>1734.6938775510198</c:v>
                </c:pt>
                <c:pt idx="86">
                  <c:v>1755.1020408163258</c:v>
                </c:pt>
                <c:pt idx="87">
                  <c:v>1775.5102040816316</c:v>
                </c:pt>
                <c:pt idx="88">
                  <c:v>1795.9183673469377</c:v>
                </c:pt>
                <c:pt idx="89">
                  <c:v>1816.3265306122437</c:v>
                </c:pt>
                <c:pt idx="90">
                  <c:v>1836.7346938775497</c:v>
                </c:pt>
                <c:pt idx="91">
                  <c:v>1857.1428571428555</c:v>
                </c:pt>
                <c:pt idx="92">
                  <c:v>1877.5510204081615</c:v>
                </c:pt>
                <c:pt idx="93">
                  <c:v>1897.9591836734676</c:v>
                </c:pt>
                <c:pt idx="94">
                  <c:v>1918.3673469387734</c:v>
                </c:pt>
                <c:pt idx="95">
                  <c:v>1938.7755102040794</c:v>
                </c:pt>
                <c:pt idx="96">
                  <c:v>1959.1836734693854</c:v>
                </c:pt>
                <c:pt idx="97">
                  <c:v>1979.5918367346915</c:v>
                </c:pt>
                <c:pt idx="98">
                  <c:v>1999.9999999999973</c:v>
                </c:pt>
                <c:pt idx="99">
                  <c:v>2020.4081632653033</c:v>
                </c:pt>
                <c:pt idx="100">
                  <c:v>2040.8163265306093</c:v>
                </c:pt>
              </c:numCache>
            </c:numRef>
          </c:xVal>
          <c:yVal>
            <c:numRef>
              <c:f>'15 град'!$C$2:$C$102</c:f>
              <c:numCache>
                <c:formatCode>General</c:formatCode>
                <c:ptCount val="101"/>
                <c:pt idx="0">
                  <c:v>0</c:v>
                </c:pt>
                <c:pt idx="1">
                  <c:v>5.4136673572818648</c:v>
                </c:pt>
                <c:pt idx="2">
                  <c:v>10.717967697244905</c:v>
                </c:pt>
                <c:pt idx="3">
                  <c:v>15.912901019889118</c:v>
                </c:pt>
                <c:pt idx="4">
                  <c:v>20.998467325214506</c:v>
                </c:pt>
                <c:pt idx="5">
                  <c:v>25.974666613221071</c:v>
                </c:pt>
                <c:pt idx="6">
                  <c:v>30.841498883908805</c:v>
                </c:pt>
                <c:pt idx="7">
                  <c:v>35.598964137277711</c:v>
                </c:pt>
                <c:pt idx="8">
                  <c:v>40.247062373327807</c:v>
                </c:pt>
                <c:pt idx="9">
                  <c:v>44.785793592059065</c:v>
                </c:pt>
                <c:pt idx="10">
                  <c:v>49.215157793471505</c:v>
                </c:pt>
                <c:pt idx="11">
                  <c:v>53.535154977565107</c:v>
                </c:pt>
                <c:pt idx="12">
                  <c:v>57.745785144339891</c:v>
                </c:pt>
                <c:pt idx="13">
                  <c:v>61.847048293795858</c:v>
                </c:pt>
                <c:pt idx="14">
                  <c:v>65.838944425932993</c:v>
                </c:pt>
                <c:pt idx="15">
                  <c:v>69.721473540751305</c:v>
                </c:pt>
                <c:pt idx="16">
                  <c:v>73.494635638250784</c:v>
                </c:pt>
                <c:pt idx="17">
                  <c:v>77.158430718431447</c:v>
                </c:pt>
                <c:pt idx="18">
                  <c:v>80.712858781293292</c:v>
                </c:pt>
                <c:pt idx="19">
                  <c:v>84.157919826836292</c:v>
                </c:pt>
                <c:pt idx="20">
                  <c:v>87.493613855060474</c:v>
                </c:pt>
                <c:pt idx="21">
                  <c:v>90.719940865965825</c:v>
                </c:pt>
                <c:pt idx="22">
                  <c:v>93.836900859552358</c:v>
                </c:pt>
                <c:pt idx="23">
                  <c:v>96.844493835820074</c:v>
                </c:pt>
                <c:pt idx="24">
                  <c:v>99.742719794768959</c:v>
                </c:pt>
                <c:pt idx="25">
                  <c:v>102.53157873639898</c:v>
                </c:pt>
                <c:pt idx="26">
                  <c:v>105.21107066071022</c:v>
                </c:pt>
                <c:pt idx="27">
                  <c:v>107.78119556770262</c:v>
                </c:pt>
                <c:pt idx="28">
                  <c:v>110.24195345737621</c:v>
                </c:pt>
                <c:pt idx="29">
                  <c:v>112.59334432973097</c:v>
                </c:pt>
                <c:pt idx="30">
                  <c:v>114.83536818476688</c:v>
                </c:pt>
                <c:pt idx="31">
                  <c:v>116.96802502248397</c:v>
                </c:pt>
                <c:pt idx="32">
                  <c:v>118.99131484288225</c:v>
                </c:pt>
                <c:pt idx="33">
                  <c:v>120.90523764596171</c:v>
                </c:pt>
                <c:pt idx="34">
                  <c:v>122.7097934317223</c:v>
                </c:pt>
                <c:pt idx="35">
                  <c:v>124.40498220016411</c:v>
                </c:pt>
                <c:pt idx="36">
                  <c:v>125.99080395128709</c:v>
                </c:pt>
                <c:pt idx="37">
                  <c:v>127.46725868509122</c:v>
                </c:pt>
                <c:pt idx="38">
                  <c:v>128.83434640157654</c:v>
                </c:pt>
                <c:pt idx="39">
                  <c:v>130.09206710074307</c:v>
                </c:pt>
                <c:pt idx="40">
                  <c:v>131.24042078259069</c:v>
                </c:pt>
                <c:pt idx="41">
                  <c:v>132.27940744711952</c:v>
                </c:pt>
                <c:pt idx="42">
                  <c:v>133.20902709432957</c:v>
                </c:pt>
                <c:pt idx="43">
                  <c:v>134.02927972422077</c:v>
                </c:pt>
                <c:pt idx="44">
                  <c:v>134.7401653367931</c:v>
                </c:pt>
                <c:pt idx="45">
                  <c:v>135.34168393204664</c:v>
                </c:pt>
                <c:pt idx="46">
                  <c:v>135.83383550998136</c:v>
                </c:pt>
                <c:pt idx="47">
                  <c:v>136.21662007059726</c:v>
                </c:pt>
                <c:pt idx="48">
                  <c:v>136.49003761389429</c:v>
                </c:pt>
                <c:pt idx="49">
                  <c:v>136.65408813987256</c:v>
                </c:pt>
                <c:pt idx="50">
                  <c:v>136.70877164853195</c:v>
                </c:pt>
                <c:pt idx="51">
                  <c:v>136.65408813987256</c:v>
                </c:pt>
                <c:pt idx="52">
                  <c:v>136.49003761389429</c:v>
                </c:pt>
                <c:pt idx="53">
                  <c:v>136.21662007059723</c:v>
                </c:pt>
                <c:pt idx="54">
                  <c:v>135.83383550998136</c:v>
                </c:pt>
                <c:pt idx="55">
                  <c:v>135.34168393204661</c:v>
                </c:pt>
                <c:pt idx="56">
                  <c:v>134.7401653367931</c:v>
                </c:pt>
                <c:pt idx="57">
                  <c:v>134.02927972422071</c:v>
                </c:pt>
                <c:pt idx="58">
                  <c:v>133.20902709432949</c:v>
                </c:pt>
                <c:pt idx="59">
                  <c:v>132.2794074471195</c:v>
                </c:pt>
                <c:pt idx="60">
                  <c:v>131.24042078259063</c:v>
                </c:pt>
                <c:pt idx="61">
                  <c:v>130.09206710074301</c:v>
                </c:pt>
                <c:pt idx="62">
                  <c:v>128.83434640157648</c:v>
                </c:pt>
                <c:pt idx="63">
                  <c:v>127.46725868509111</c:v>
                </c:pt>
                <c:pt idx="64">
                  <c:v>125.99080395128701</c:v>
                </c:pt>
                <c:pt idx="65">
                  <c:v>124.40498220016403</c:v>
                </c:pt>
                <c:pt idx="66">
                  <c:v>122.70979343172218</c:v>
                </c:pt>
                <c:pt idx="67">
                  <c:v>120.90523764596159</c:v>
                </c:pt>
                <c:pt idx="68">
                  <c:v>118.99131484288213</c:v>
                </c:pt>
                <c:pt idx="69">
                  <c:v>116.96802502248386</c:v>
                </c:pt>
                <c:pt idx="70">
                  <c:v>114.83536818476676</c:v>
                </c:pt>
                <c:pt idx="71">
                  <c:v>112.59334432973083</c:v>
                </c:pt>
                <c:pt idx="72">
                  <c:v>110.24195345737604</c:v>
                </c:pt>
                <c:pt idx="73">
                  <c:v>107.78119556770247</c:v>
                </c:pt>
                <c:pt idx="74">
                  <c:v>105.21107066071011</c:v>
                </c:pt>
                <c:pt idx="75">
                  <c:v>102.53157873639879</c:v>
                </c:pt>
                <c:pt idx="76">
                  <c:v>99.742719794768732</c:v>
                </c:pt>
                <c:pt idx="77">
                  <c:v>96.84449383581989</c:v>
                </c:pt>
                <c:pt idx="78">
                  <c:v>93.836900859552259</c:v>
                </c:pt>
                <c:pt idx="79">
                  <c:v>90.719940865965725</c:v>
                </c:pt>
                <c:pt idx="80">
                  <c:v>87.493613855060346</c:v>
                </c:pt>
                <c:pt idx="81">
                  <c:v>84.157919826836235</c:v>
                </c:pt>
                <c:pt idx="82">
                  <c:v>80.712858781293221</c:v>
                </c:pt>
                <c:pt idx="83">
                  <c:v>77.158430718431475</c:v>
                </c:pt>
                <c:pt idx="84">
                  <c:v>73.49463563825077</c:v>
                </c:pt>
                <c:pt idx="85">
                  <c:v>69.72147354075139</c:v>
                </c:pt>
                <c:pt idx="86">
                  <c:v>65.83894442593305</c:v>
                </c:pt>
                <c:pt idx="87">
                  <c:v>61.847048293795979</c:v>
                </c:pt>
                <c:pt idx="88">
                  <c:v>57.745785144340061</c:v>
                </c:pt>
                <c:pt idx="89">
                  <c:v>53.535154977565298</c:v>
                </c:pt>
                <c:pt idx="90">
                  <c:v>49.215157793471747</c:v>
                </c:pt>
                <c:pt idx="91">
                  <c:v>44.785793592059292</c:v>
                </c:pt>
                <c:pt idx="92">
                  <c:v>40.247062373328163</c:v>
                </c:pt>
                <c:pt idx="93">
                  <c:v>35.598964137278017</c:v>
                </c:pt>
                <c:pt idx="94">
                  <c:v>30.841498883909253</c:v>
                </c:pt>
                <c:pt idx="95">
                  <c:v>25.974666613221473</c:v>
                </c:pt>
                <c:pt idx="96">
                  <c:v>20.998467325214961</c:v>
                </c:pt>
                <c:pt idx="97">
                  <c:v>15.912901019889659</c:v>
                </c:pt>
                <c:pt idx="98">
                  <c:v>10.717967697245513</c:v>
                </c:pt>
                <c:pt idx="99">
                  <c:v>5.4136673572824066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7C-45A3-8B02-2355937D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55760"/>
        <c:axId val="914072960"/>
      </c:scatterChart>
      <c:valAx>
        <c:axId val="10864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x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8326853290663323"/>
              <c:y val="0.76550925925925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4072960"/>
        <c:crosses val="autoZero"/>
        <c:crossBetween val="midCat"/>
      </c:valAx>
      <c:valAx>
        <c:axId val="9140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y</a:t>
                </a:r>
                <a:endParaRPr lang="ru-RU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25"/>
              <c:y val="0.13665901137357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45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14287</xdr:rowOff>
    </xdr:from>
    <xdr:to>
      <xdr:col>10</xdr:col>
      <xdr:colOff>676275</xdr:colOff>
      <xdr:row>18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DE3862-5D70-6866-75D3-D1C6FD964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3</xdr:row>
      <xdr:rowOff>14287</xdr:rowOff>
    </xdr:from>
    <xdr:to>
      <xdr:col>10</xdr:col>
      <xdr:colOff>671512</xdr:colOff>
      <xdr:row>17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4D6432-0DE8-4BA4-4C3A-F51323C44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3</xdr:row>
      <xdr:rowOff>14285</xdr:rowOff>
    </xdr:from>
    <xdr:to>
      <xdr:col>10</xdr:col>
      <xdr:colOff>690562</xdr:colOff>
      <xdr:row>18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F105CEC-AD6A-99DA-62F4-00A98445D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3</xdr:row>
      <xdr:rowOff>23812</xdr:rowOff>
    </xdr:from>
    <xdr:to>
      <xdr:col>10</xdr:col>
      <xdr:colOff>681037</xdr:colOff>
      <xdr:row>17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88B483-FF41-4EE3-8CB7-4359BFF0B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1</xdr:row>
      <xdr:rowOff>19050</xdr:rowOff>
    </xdr:from>
    <xdr:to>
      <xdr:col>9</xdr:col>
      <xdr:colOff>552450</xdr:colOff>
      <xdr:row>15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1D31C19-E406-47FC-ADDB-6D60F67BD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selection activeCell="U45" sqref="U45"/>
    </sheetView>
  </sheetViews>
  <sheetFormatPr defaultRowHeight="15" x14ac:dyDescent="0.25"/>
  <cols>
    <col min="1" max="1" width="12.140625" customWidth="1"/>
    <col min="2" max="2" width="12.7109375" customWidth="1"/>
    <col min="3" max="3" width="13" customWidth="1"/>
    <col min="4" max="4" width="10.85546875" customWidth="1"/>
    <col min="10" max="10" width="12.85546875" customWidth="1"/>
    <col min="11" max="11" width="12.5703125" customWidth="1"/>
    <col min="12" max="12" width="13.42578125" customWidth="1"/>
    <col min="13" max="13" width="12.5703125" customWidth="1"/>
  </cols>
  <sheetData>
    <row r="1" spans="1:13" ht="16.5" thickTop="1" thickBot="1" x14ac:dyDescent="0.3">
      <c r="A1" s="1" t="s">
        <v>8</v>
      </c>
      <c r="B1" s="1" t="s">
        <v>7</v>
      </c>
      <c r="C1" s="1" t="s">
        <v>5</v>
      </c>
      <c r="D1" s="1" t="s">
        <v>6</v>
      </c>
      <c r="E1" s="1"/>
      <c r="F1" s="1" t="s">
        <v>1</v>
      </c>
      <c r="G1" s="1" t="s">
        <v>10</v>
      </c>
      <c r="H1" s="1" t="s">
        <v>2</v>
      </c>
      <c r="I1" s="1" t="s">
        <v>0</v>
      </c>
      <c r="J1" s="1" t="s">
        <v>9</v>
      </c>
      <c r="K1" s="1" t="s">
        <v>4</v>
      </c>
      <c r="L1" s="1" t="s">
        <v>11</v>
      </c>
      <c r="M1" s="1" t="s">
        <v>3</v>
      </c>
    </row>
    <row r="2" spans="1:13" ht="13.5" customHeight="1" thickTop="1" x14ac:dyDescent="0.25">
      <c r="A2">
        <v>0</v>
      </c>
      <c r="B2">
        <f>A2*$J$2</f>
        <v>0</v>
      </c>
      <c r="C2">
        <f>IF($K$2*A2-$H$2*A2*A2/2&gt;0.001,$K$2*A2-$H$2*A2*A2/2,0)</f>
        <v>0</v>
      </c>
      <c r="D2">
        <f>L2/100</f>
        <v>0.34614208006384728</v>
      </c>
      <c r="F2">
        <v>58</v>
      </c>
      <c r="G2">
        <f>F2*PI()/180</f>
        <v>1.0122909661567112</v>
      </c>
      <c r="H2">
        <v>-9.8000000000000007</v>
      </c>
      <c r="I2">
        <v>200</v>
      </c>
      <c r="J2">
        <f>I2*COS(G2)</f>
        <v>105.98385284664099</v>
      </c>
      <c r="K2">
        <f>I2*SIN(G2)</f>
        <v>169.60961923128519</v>
      </c>
      <c r="L2">
        <f>-K2/H2*2</f>
        <v>34.614208006384729</v>
      </c>
      <c r="M2">
        <f>B102</f>
        <v>3668.5471277516963</v>
      </c>
    </row>
    <row r="3" spans="1:13" x14ac:dyDescent="0.25">
      <c r="A3">
        <f>A2+$D$2</f>
        <v>0.34614208006384728</v>
      </c>
      <c r="B3">
        <f>A3*$J$2</f>
        <v>36.68547127751701</v>
      </c>
      <c r="C3">
        <f>IF(K$2*A3+H$2*A3*A3/2&gt;0.001,K$2*A3+H$2*A3*A3/2,0)</f>
        <v>58.121936135558627</v>
      </c>
    </row>
    <row r="4" spans="1:13" x14ac:dyDescent="0.25">
      <c r="A4">
        <f t="shared" ref="A4:A67" si="0">A3+$D$2</f>
        <v>0.69228416012769456</v>
      </c>
      <c r="B4">
        <f t="shared" ref="B4:B67" si="1">A4*$J$2</f>
        <v>73.37094255503402</v>
      </c>
      <c r="C4">
        <f t="shared" ref="C4:C67" si="2">IF(K$2*A4+H$2*A4*A4/2&gt;0.001,K$2*A4+H$2*A4*A4/2,0)</f>
        <v>115.06969174312617</v>
      </c>
    </row>
    <row r="5" spans="1:13" x14ac:dyDescent="0.25">
      <c r="A5">
        <f t="shared" si="0"/>
        <v>1.0384262401915418</v>
      </c>
      <c r="B5">
        <f t="shared" si="1"/>
        <v>110.05641383255104</v>
      </c>
      <c r="C5">
        <f t="shared" si="2"/>
        <v>170.84326682270262</v>
      </c>
    </row>
    <row r="6" spans="1:13" x14ac:dyDescent="0.25">
      <c r="A6">
        <f t="shared" si="0"/>
        <v>1.3845683202553891</v>
      </c>
      <c r="B6">
        <f t="shared" si="1"/>
        <v>146.74188511006804</v>
      </c>
      <c r="C6">
        <f t="shared" si="2"/>
        <v>225.44266137428801</v>
      </c>
    </row>
    <row r="7" spans="1:13" x14ac:dyDescent="0.25">
      <c r="A7">
        <f t="shared" si="0"/>
        <v>1.7307104003192364</v>
      </c>
      <c r="B7">
        <f t="shared" si="1"/>
        <v>183.42735638758506</v>
      </c>
      <c r="C7">
        <f t="shared" si="2"/>
        <v>278.8678753978823</v>
      </c>
    </row>
    <row r="8" spans="1:13" x14ac:dyDescent="0.25">
      <c r="A8">
        <f t="shared" si="0"/>
        <v>2.0768524803830837</v>
      </c>
      <c r="B8">
        <f t="shared" si="1"/>
        <v>220.11282766510209</v>
      </c>
      <c r="C8">
        <f t="shared" si="2"/>
        <v>331.11890889348552</v>
      </c>
    </row>
    <row r="9" spans="1:13" x14ac:dyDescent="0.25">
      <c r="A9">
        <f t="shared" si="0"/>
        <v>2.4229945604469307</v>
      </c>
      <c r="B9">
        <f t="shared" si="1"/>
        <v>256.79829894261906</v>
      </c>
      <c r="C9">
        <f t="shared" si="2"/>
        <v>382.19576186109759</v>
      </c>
    </row>
    <row r="10" spans="1:13" x14ac:dyDescent="0.25">
      <c r="A10">
        <f t="shared" si="0"/>
        <v>2.7691366405107782</v>
      </c>
      <c r="B10">
        <f t="shared" si="1"/>
        <v>293.48377022013608</v>
      </c>
      <c r="C10">
        <f t="shared" si="2"/>
        <v>432.09843430071868</v>
      </c>
    </row>
    <row r="11" spans="1:13" x14ac:dyDescent="0.25">
      <c r="A11">
        <f t="shared" si="0"/>
        <v>3.1152787205746257</v>
      </c>
      <c r="B11">
        <f t="shared" si="1"/>
        <v>330.16924149765316</v>
      </c>
      <c r="C11">
        <f t="shared" si="2"/>
        <v>480.82692621234872</v>
      </c>
    </row>
    <row r="12" spans="1:13" x14ac:dyDescent="0.25">
      <c r="A12">
        <f t="shared" si="0"/>
        <v>3.4614208006384732</v>
      </c>
      <c r="B12">
        <f t="shared" si="1"/>
        <v>366.85471277517019</v>
      </c>
      <c r="C12">
        <f t="shared" si="2"/>
        <v>528.38123759598761</v>
      </c>
    </row>
    <row r="13" spans="1:13" x14ac:dyDescent="0.25">
      <c r="A13">
        <f t="shared" si="0"/>
        <v>3.8075628807023207</v>
      </c>
      <c r="B13">
        <f t="shared" si="1"/>
        <v>403.54018405268721</v>
      </c>
      <c r="C13">
        <f t="shared" si="2"/>
        <v>574.76136845163546</v>
      </c>
    </row>
    <row r="14" spans="1:13" x14ac:dyDescent="0.25">
      <c r="A14">
        <f t="shared" si="0"/>
        <v>4.1537049607661682</v>
      </c>
      <c r="B14">
        <f t="shared" si="1"/>
        <v>440.22565533020423</v>
      </c>
      <c r="C14">
        <f t="shared" si="2"/>
        <v>619.96731877929221</v>
      </c>
    </row>
    <row r="15" spans="1:13" x14ac:dyDescent="0.25">
      <c r="A15">
        <f t="shared" si="0"/>
        <v>4.4998470408300157</v>
      </c>
      <c r="B15">
        <f t="shared" si="1"/>
        <v>476.91112660772126</v>
      </c>
      <c r="C15">
        <f t="shared" si="2"/>
        <v>663.99908857895787</v>
      </c>
    </row>
    <row r="16" spans="1:13" x14ac:dyDescent="0.25">
      <c r="A16">
        <f t="shared" si="0"/>
        <v>4.8459891208938632</v>
      </c>
      <c r="B16">
        <f t="shared" si="1"/>
        <v>513.59659788523834</v>
      </c>
      <c r="C16">
        <f t="shared" si="2"/>
        <v>706.85667785063242</v>
      </c>
    </row>
    <row r="17" spans="1:3" x14ac:dyDescent="0.25">
      <c r="A17">
        <f t="shared" si="0"/>
        <v>5.1921312009577107</v>
      </c>
      <c r="B17">
        <f t="shared" si="1"/>
        <v>550.28206916275531</v>
      </c>
      <c r="C17">
        <f t="shared" si="2"/>
        <v>748.54008659431588</v>
      </c>
    </row>
    <row r="18" spans="1:3" x14ac:dyDescent="0.25">
      <c r="A18">
        <f t="shared" si="0"/>
        <v>5.5382732810215582</v>
      </c>
      <c r="B18">
        <f t="shared" si="1"/>
        <v>586.96754044027239</v>
      </c>
      <c r="C18">
        <f t="shared" si="2"/>
        <v>789.04931481000824</v>
      </c>
    </row>
    <row r="19" spans="1:3" x14ac:dyDescent="0.25">
      <c r="A19">
        <f t="shared" si="0"/>
        <v>5.8844153610854057</v>
      </c>
      <c r="B19">
        <f t="shared" si="1"/>
        <v>623.65301171778947</v>
      </c>
      <c r="C19">
        <f t="shared" si="2"/>
        <v>828.38436249770962</v>
      </c>
    </row>
    <row r="20" spans="1:3" x14ac:dyDescent="0.25">
      <c r="A20">
        <f t="shared" si="0"/>
        <v>6.2305574411492533</v>
      </c>
      <c r="B20">
        <f t="shared" si="1"/>
        <v>660.33848299530644</v>
      </c>
      <c r="C20">
        <f t="shared" si="2"/>
        <v>866.54522965741978</v>
      </c>
    </row>
    <row r="21" spans="1:3" x14ac:dyDescent="0.25">
      <c r="A21">
        <f t="shared" si="0"/>
        <v>6.5766995212131008</v>
      </c>
      <c r="B21">
        <f t="shared" si="1"/>
        <v>697.02395427282352</v>
      </c>
      <c r="C21">
        <f t="shared" si="2"/>
        <v>903.53191628913896</v>
      </c>
    </row>
    <row r="22" spans="1:3" x14ac:dyDescent="0.25">
      <c r="A22">
        <f t="shared" si="0"/>
        <v>6.9228416012769483</v>
      </c>
      <c r="B22">
        <f t="shared" si="1"/>
        <v>733.70942555034048</v>
      </c>
      <c r="C22">
        <f t="shared" si="2"/>
        <v>939.34442239286705</v>
      </c>
    </row>
    <row r="23" spans="1:3" x14ac:dyDescent="0.25">
      <c r="A23">
        <f t="shared" si="0"/>
        <v>7.2689836813407958</v>
      </c>
      <c r="B23">
        <f t="shared" si="1"/>
        <v>770.39489682785756</v>
      </c>
      <c r="C23">
        <f t="shared" si="2"/>
        <v>973.98274796860392</v>
      </c>
    </row>
    <row r="24" spans="1:3" x14ac:dyDescent="0.25">
      <c r="A24">
        <f t="shared" si="0"/>
        <v>7.6151257614046433</v>
      </c>
      <c r="B24">
        <f t="shared" si="1"/>
        <v>807.08036810537465</v>
      </c>
      <c r="C24">
        <f t="shared" si="2"/>
        <v>1007.4468930163498</v>
      </c>
    </row>
    <row r="25" spans="1:3" x14ac:dyDescent="0.25">
      <c r="A25">
        <f t="shared" si="0"/>
        <v>7.9612678414684908</v>
      </c>
      <c r="B25">
        <f t="shared" si="1"/>
        <v>843.76583938289161</v>
      </c>
      <c r="C25">
        <f t="shared" si="2"/>
        <v>1039.7368575361047</v>
      </c>
    </row>
    <row r="26" spans="1:3" x14ac:dyDescent="0.25">
      <c r="A26">
        <f t="shared" si="0"/>
        <v>8.3074099215323383</v>
      </c>
      <c r="B26">
        <f t="shared" si="1"/>
        <v>880.45131066040869</v>
      </c>
      <c r="C26">
        <f t="shared" si="2"/>
        <v>1070.8526415278684</v>
      </c>
    </row>
    <row r="27" spans="1:3" x14ac:dyDescent="0.25">
      <c r="A27">
        <f t="shared" si="0"/>
        <v>8.6535520015961858</v>
      </c>
      <c r="B27">
        <f t="shared" si="1"/>
        <v>917.13678193792566</v>
      </c>
      <c r="C27">
        <f t="shared" si="2"/>
        <v>1100.7942449916411</v>
      </c>
    </row>
    <row r="28" spans="1:3" x14ac:dyDescent="0.25">
      <c r="A28">
        <f t="shared" si="0"/>
        <v>8.9996940816600333</v>
      </c>
      <c r="B28">
        <f t="shared" si="1"/>
        <v>953.82225321544274</v>
      </c>
      <c r="C28">
        <f t="shared" si="2"/>
        <v>1129.5616679274226</v>
      </c>
    </row>
    <row r="29" spans="1:3" x14ac:dyDescent="0.25">
      <c r="A29">
        <f t="shared" si="0"/>
        <v>9.3458361617238808</v>
      </c>
      <c r="B29">
        <f t="shared" si="1"/>
        <v>990.50772449295982</v>
      </c>
      <c r="C29">
        <f t="shared" si="2"/>
        <v>1157.1549103352131</v>
      </c>
    </row>
    <row r="30" spans="1:3" x14ac:dyDescent="0.25">
      <c r="A30">
        <f t="shared" si="0"/>
        <v>9.6919782417877283</v>
      </c>
      <c r="B30">
        <f t="shared" si="1"/>
        <v>1027.1931957704769</v>
      </c>
      <c r="C30">
        <f t="shared" si="2"/>
        <v>1183.5739722150124</v>
      </c>
    </row>
    <row r="31" spans="1:3" x14ac:dyDescent="0.25">
      <c r="A31">
        <f t="shared" si="0"/>
        <v>10.038120321851576</v>
      </c>
      <c r="B31">
        <f t="shared" si="1"/>
        <v>1063.8786670479938</v>
      </c>
      <c r="C31">
        <f t="shared" si="2"/>
        <v>1208.8188535668207</v>
      </c>
    </row>
    <row r="32" spans="1:3" x14ac:dyDescent="0.25">
      <c r="A32">
        <f t="shared" si="0"/>
        <v>10.384262401915423</v>
      </c>
      <c r="B32">
        <f t="shared" si="1"/>
        <v>1100.5641383255108</v>
      </c>
      <c r="C32">
        <f t="shared" si="2"/>
        <v>1232.8895543906378</v>
      </c>
    </row>
    <row r="33" spans="1:3" x14ac:dyDescent="0.25">
      <c r="A33">
        <f t="shared" si="0"/>
        <v>10.730404481979271</v>
      </c>
      <c r="B33">
        <f t="shared" si="1"/>
        <v>1137.2496096030279</v>
      </c>
      <c r="C33">
        <f t="shared" si="2"/>
        <v>1255.786074686464</v>
      </c>
    </row>
    <row r="34" spans="1:3" x14ac:dyDescent="0.25">
      <c r="A34">
        <f t="shared" si="0"/>
        <v>11.076546562043118</v>
      </c>
      <c r="B34">
        <f t="shared" si="1"/>
        <v>1173.935080880545</v>
      </c>
      <c r="C34">
        <f t="shared" si="2"/>
        <v>1277.5084144542991</v>
      </c>
    </row>
    <row r="35" spans="1:3" x14ac:dyDescent="0.25">
      <c r="A35">
        <f t="shared" si="0"/>
        <v>11.422688642106966</v>
      </c>
      <c r="B35">
        <f t="shared" si="1"/>
        <v>1210.6205521580621</v>
      </c>
      <c r="C35">
        <f t="shared" si="2"/>
        <v>1298.056573694143</v>
      </c>
    </row>
    <row r="36" spans="1:3" x14ac:dyDescent="0.25">
      <c r="A36">
        <f t="shared" si="0"/>
        <v>11.768830722170813</v>
      </c>
      <c r="B36">
        <f t="shared" si="1"/>
        <v>1247.3060234355789</v>
      </c>
      <c r="C36">
        <f t="shared" si="2"/>
        <v>1317.430552405996</v>
      </c>
    </row>
    <row r="37" spans="1:3" x14ac:dyDescent="0.25">
      <c r="A37">
        <f t="shared" si="0"/>
        <v>12.114972802234661</v>
      </c>
      <c r="B37">
        <f t="shared" si="1"/>
        <v>1283.991494713096</v>
      </c>
      <c r="C37">
        <f t="shared" si="2"/>
        <v>1335.6303505898579</v>
      </c>
    </row>
    <row r="38" spans="1:3" x14ac:dyDescent="0.25">
      <c r="A38">
        <f t="shared" si="0"/>
        <v>12.461114882298508</v>
      </c>
      <c r="B38">
        <f t="shared" si="1"/>
        <v>1320.6769659906131</v>
      </c>
      <c r="C38">
        <f t="shared" si="2"/>
        <v>1352.6559682457287</v>
      </c>
    </row>
    <row r="39" spans="1:3" x14ac:dyDescent="0.25">
      <c r="A39">
        <f t="shared" si="0"/>
        <v>12.807256962362356</v>
      </c>
      <c r="B39">
        <f t="shared" si="1"/>
        <v>1357.3624372681302</v>
      </c>
      <c r="C39">
        <f t="shared" si="2"/>
        <v>1368.5074053736082</v>
      </c>
    </row>
    <row r="40" spans="1:3" x14ac:dyDescent="0.25">
      <c r="A40">
        <f t="shared" si="0"/>
        <v>13.153399042426203</v>
      </c>
      <c r="B40">
        <f t="shared" si="1"/>
        <v>1394.0479085456473</v>
      </c>
      <c r="C40">
        <f t="shared" si="2"/>
        <v>1383.1846619734968</v>
      </c>
    </row>
    <row r="41" spans="1:3" x14ac:dyDescent="0.25">
      <c r="A41">
        <f t="shared" si="0"/>
        <v>13.499541122490051</v>
      </c>
      <c r="B41">
        <f t="shared" si="1"/>
        <v>1430.7333798231641</v>
      </c>
      <c r="C41">
        <f t="shared" si="2"/>
        <v>1396.6877380453943</v>
      </c>
    </row>
    <row r="42" spans="1:3" x14ac:dyDescent="0.25">
      <c r="A42">
        <f t="shared" si="0"/>
        <v>13.845683202553898</v>
      </c>
      <c r="B42">
        <f t="shared" si="1"/>
        <v>1467.4188511006812</v>
      </c>
      <c r="C42">
        <f t="shared" si="2"/>
        <v>1409.0166335893005</v>
      </c>
    </row>
    <row r="43" spans="1:3" x14ac:dyDescent="0.25">
      <c r="A43">
        <f t="shared" si="0"/>
        <v>14.191825282617746</v>
      </c>
      <c r="B43">
        <f t="shared" si="1"/>
        <v>1504.1043223781983</v>
      </c>
      <c r="C43">
        <f t="shared" si="2"/>
        <v>1420.1713486052158</v>
      </c>
    </row>
    <row r="44" spans="1:3" x14ac:dyDescent="0.25">
      <c r="A44">
        <f t="shared" si="0"/>
        <v>14.537967362681593</v>
      </c>
      <c r="B44">
        <f t="shared" si="1"/>
        <v>1540.7897936557154</v>
      </c>
      <c r="C44">
        <f t="shared" si="2"/>
        <v>1430.15188309314</v>
      </c>
    </row>
    <row r="45" spans="1:3" x14ac:dyDescent="0.25">
      <c r="A45">
        <f t="shared" si="0"/>
        <v>14.884109442745441</v>
      </c>
      <c r="B45">
        <f t="shared" si="1"/>
        <v>1577.4752649332324</v>
      </c>
      <c r="C45">
        <f t="shared" si="2"/>
        <v>1438.9582370530732</v>
      </c>
    </row>
    <row r="46" spans="1:3" x14ac:dyDescent="0.25">
      <c r="A46">
        <f t="shared" si="0"/>
        <v>15.230251522809288</v>
      </c>
      <c r="B46">
        <f t="shared" si="1"/>
        <v>1614.1607362107493</v>
      </c>
      <c r="C46">
        <f t="shared" si="2"/>
        <v>1446.5904104850151</v>
      </c>
    </row>
    <row r="47" spans="1:3" x14ac:dyDescent="0.25">
      <c r="A47">
        <f t="shared" si="0"/>
        <v>15.576393602873136</v>
      </c>
      <c r="B47">
        <f t="shared" si="1"/>
        <v>1650.8462074882664</v>
      </c>
      <c r="C47">
        <f t="shared" si="2"/>
        <v>1453.0484033889661</v>
      </c>
    </row>
    <row r="48" spans="1:3" x14ac:dyDescent="0.25">
      <c r="A48">
        <f t="shared" si="0"/>
        <v>15.922535682936983</v>
      </c>
      <c r="B48">
        <f t="shared" si="1"/>
        <v>1687.5316787657835</v>
      </c>
      <c r="C48">
        <f t="shared" si="2"/>
        <v>1458.3322157649259</v>
      </c>
    </row>
    <row r="49" spans="1:3" x14ac:dyDescent="0.25">
      <c r="A49">
        <f t="shared" si="0"/>
        <v>16.268677763000831</v>
      </c>
      <c r="B49">
        <f t="shared" si="1"/>
        <v>1724.2171500433005</v>
      </c>
      <c r="C49">
        <f t="shared" si="2"/>
        <v>1462.4418476128947</v>
      </c>
    </row>
    <row r="50" spans="1:3" x14ac:dyDescent="0.25">
      <c r="A50">
        <f t="shared" si="0"/>
        <v>16.614819843064677</v>
      </c>
      <c r="B50">
        <f t="shared" si="1"/>
        <v>1760.9026213208174</v>
      </c>
      <c r="C50">
        <f t="shared" si="2"/>
        <v>1465.3772989328722</v>
      </c>
    </row>
    <row r="51" spans="1:3" x14ac:dyDescent="0.25">
      <c r="A51">
        <f t="shared" si="0"/>
        <v>16.960961923128522</v>
      </c>
      <c r="B51">
        <f t="shared" si="1"/>
        <v>1797.5880925983342</v>
      </c>
      <c r="C51">
        <f t="shared" si="2"/>
        <v>1467.1385697248588</v>
      </c>
    </row>
    <row r="52" spans="1:3" x14ac:dyDescent="0.25">
      <c r="A52">
        <f t="shared" si="0"/>
        <v>17.307104003192368</v>
      </c>
      <c r="B52">
        <f t="shared" si="1"/>
        <v>1834.2735638758511</v>
      </c>
      <c r="C52">
        <f t="shared" si="2"/>
        <v>1467.7256599888544</v>
      </c>
    </row>
    <row r="53" spans="1:3" x14ac:dyDescent="0.25">
      <c r="A53">
        <f t="shared" si="0"/>
        <v>17.653246083256214</v>
      </c>
      <c r="B53">
        <f t="shared" si="1"/>
        <v>1870.9590351533679</v>
      </c>
      <c r="C53">
        <f t="shared" si="2"/>
        <v>1467.1385697248588</v>
      </c>
    </row>
    <row r="54" spans="1:3" x14ac:dyDescent="0.25">
      <c r="A54">
        <f t="shared" si="0"/>
        <v>17.999388163320059</v>
      </c>
      <c r="B54">
        <f t="shared" si="1"/>
        <v>1907.6445064308848</v>
      </c>
      <c r="C54">
        <f t="shared" si="2"/>
        <v>1465.377298932872</v>
      </c>
    </row>
    <row r="55" spans="1:3" x14ac:dyDescent="0.25">
      <c r="A55">
        <f t="shared" si="0"/>
        <v>18.345530243383905</v>
      </c>
      <c r="B55">
        <f t="shared" si="1"/>
        <v>1944.3299777084017</v>
      </c>
      <c r="C55">
        <f t="shared" si="2"/>
        <v>1462.4418476128947</v>
      </c>
    </row>
    <row r="56" spans="1:3" x14ac:dyDescent="0.25">
      <c r="A56">
        <f t="shared" si="0"/>
        <v>18.691672323447751</v>
      </c>
      <c r="B56">
        <f t="shared" si="1"/>
        <v>1981.0154489859185</v>
      </c>
      <c r="C56">
        <f t="shared" si="2"/>
        <v>1458.3322157649256</v>
      </c>
    </row>
    <row r="57" spans="1:3" x14ac:dyDescent="0.25">
      <c r="A57">
        <f t="shared" si="0"/>
        <v>19.037814403511597</v>
      </c>
      <c r="B57">
        <f t="shared" si="1"/>
        <v>2017.7009202634354</v>
      </c>
      <c r="C57">
        <f t="shared" si="2"/>
        <v>1453.0484033889661</v>
      </c>
    </row>
    <row r="58" spans="1:3" x14ac:dyDescent="0.25">
      <c r="A58">
        <f t="shared" si="0"/>
        <v>19.383956483575442</v>
      </c>
      <c r="B58">
        <f t="shared" si="1"/>
        <v>2054.386391540952</v>
      </c>
      <c r="C58">
        <f t="shared" si="2"/>
        <v>1446.5904104850151</v>
      </c>
    </row>
    <row r="59" spans="1:3" x14ac:dyDescent="0.25">
      <c r="A59">
        <f t="shared" si="0"/>
        <v>19.730098563639288</v>
      </c>
      <c r="B59">
        <f t="shared" si="1"/>
        <v>2091.0718628184691</v>
      </c>
      <c r="C59">
        <f t="shared" si="2"/>
        <v>1438.9582370530729</v>
      </c>
    </row>
    <row r="60" spans="1:3" x14ac:dyDescent="0.25">
      <c r="A60">
        <f t="shared" si="0"/>
        <v>20.076240643703134</v>
      </c>
      <c r="B60">
        <f t="shared" si="1"/>
        <v>2127.7573340959857</v>
      </c>
      <c r="C60">
        <f t="shared" si="2"/>
        <v>1430.1518830931402</v>
      </c>
    </row>
    <row r="61" spans="1:3" x14ac:dyDescent="0.25">
      <c r="A61">
        <f t="shared" si="0"/>
        <v>20.422382723766979</v>
      </c>
      <c r="B61">
        <f t="shared" si="1"/>
        <v>2164.4428053735028</v>
      </c>
      <c r="C61">
        <f t="shared" si="2"/>
        <v>1420.1713486052158</v>
      </c>
    </row>
    <row r="62" spans="1:3" x14ac:dyDescent="0.25">
      <c r="A62">
        <f t="shared" si="0"/>
        <v>20.768524803830825</v>
      </c>
      <c r="B62">
        <f t="shared" si="1"/>
        <v>2201.1282766510194</v>
      </c>
      <c r="C62">
        <f t="shared" si="2"/>
        <v>1409.0166335893005</v>
      </c>
    </row>
    <row r="63" spans="1:3" x14ac:dyDescent="0.25">
      <c r="A63">
        <f t="shared" si="0"/>
        <v>21.114666883894671</v>
      </c>
      <c r="B63">
        <f t="shared" si="1"/>
        <v>2237.8137479285365</v>
      </c>
      <c r="C63">
        <f t="shared" si="2"/>
        <v>1396.6877380453943</v>
      </c>
    </row>
    <row r="64" spans="1:3" x14ac:dyDescent="0.25">
      <c r="A64">
        <f t="shared" si="0"/>
        <v>21.460808963958517</v>
      </c>
      <c r="B64">
        <f t="shared" si="1"/>
        <v>2274.4992192060531</v>
      </c>
      <c r="C64">
        <f t="shared" si="2"/>
        <v>1383.184661973497</v>
      </c>
    </row>
    <row r="65" spans="1:3" x14ac:dyDescent="0.25">
      <c r="A65">
        <f t="shared" si="0"/>
        <v>21.806951044022362</v>
      </c>
      <c r="B65">
        <f t="shared" si="1"/>
        <v>2311.1846904835702</v>
      </c>
      <c r="C65">
        <f t="shared" si="2"/>
        <v>1368.5074053736084</v>
      </c>
    </row>
    <row r="66" spans="1:3" x14ac:dyDescent="0.25">
      <c r="A66">
        <f t="shared" si="0"/>
        <v>22.153093124086208</v>
      </c>
      <c r="B66">
        <f t="shared" si="1"/>
        <v>2347.8701617610868</v>
      </c>
      <c r="C66">
        <f t="shared" si="2"/>
        <v>1352.6559682457296</v>
      </c>
    </row>
    <row r="67" spans="1:3" x14ac:dyDescent="0.25">
      <c r="A67">
        <f t="shared" si="0"/>
        <v>22.499235204150054</v>
      </c>
      <c r="B67">
        <f t="shared" si="1"/>
        <v>2384.5556330386039</v>
      </c>
      <c r="C67">
        <f t="shared" si="2"/>
        <v>1335.6303505898586</v>
      </c>
    </row>
    <row r="68" spans="1:3" x14ac:dyDescent="0.25">
      <c r="A68">
        <f t="shared" ref="A68:A131" si="3">A67+$D$2</f>
        <v>22.8453772842139</v>
      </c>
      <c r="B68">
        <f t="shared" ref="B68:B103" si="4">A68*$J$2</f>
        <v>2421.2411043161205</v>
      </c>
      <c r="C68">
        <f t="shared" ref="C68:C103" si="5">IF(K$2*A68+H$2*A68*A68/2&gt;0.001,K$2*A68+H$2*A68*A68/2,0)</f>
        <v>1317.4305524059969</v>
      </c>
    </row>
    <row r="69" spans="1:3" x14ac:dyDescent="0.25">
      <c r="A69">
        <f t="shared" si="3"/>
        <v>23.191519364277745</v>
      </c>
      <c r="B69">
        <f t="shared" si="4"/>
        <v>2457.9265755936376</v>
      </c>
      <c r="C69">
        <f t="shared" si="5"/>
        <v>1298.0565736941444</v>
      </c>
    </row>
    <row r="70" spans="1:3" x14ac:dyDescent="0.25">
      <c r="A70">
        <f t="shared" si="3"/>
        <v>23.537661444341591</v>
      </c>
      <c r="B70">
        <f t="shared" si="4"/>
        <v>2494.6120468711542</v>
      </c>
      <c r="C70">
        <f t="shared" si="5"/>
        <v>1277.5084144543007</v>
      </c>
    </row>
    <row r="71" spans="1:3" x14ac:dyDescent="0.25">
      <c r="A71">
        <f t="shared" si="3"/>
        <v>23.883803524405437</v>
      </c>
      <c r="B71">
        <f t="shared" si="4"/>
        <v>2531.2975181486713</v>
      </c>
      <c r="C71">
        <f t="shared" si="5"/>
        <v>1255.7860746864653</v>
      </c>
    </row>
    <row r="72" spans="1:3" x14ac:dyDescent="0.25">
      <c r="A72">
        <f t="shared" si="3"/>
        <v>24.229945604469282</v>
      </c>
      <c r="B72">
        <f t="shared" si="4"/>
        <v>2567.9829894261879</v>
      </c>
      <c r="C72">
        <f t="shared" si="5"/>
        <v>1232.8895543906392</v>
      </c>
    </row>
    <row r="73" spans="1:3" x14ac:dyDescent="0.25">
      <c r="A73">
        <f t="shared" si="3"/>
        <v>24.576087684533128</v>
      </c>
      <c r="B73">
        <f t="shared" si="4"/>
        <v>2604.668460703705</v>
      </c>
      <c r="C73">
        <f t="shared" si="5"/>
        <v>1208.8188535668228</v>
      </c>
    </row>
    <row r="74" spans="1:3" x14ac:dyDescent="0.25">
      <c r="A74">
        <f t="shared" si="3"/>
        <v>24.922229764596974</v>
      </c>
      <c r="B74">
        <f t="shared" si="4"/>
        <v>2641.3539319812216</v>
      </c>
      <c r="C74">
        <f t="shared" si="5"/>
        <v>1183.5739722150147</v>
      </c>
    </row>
    <row r="75" spans="1:3" x14ac:dyDescent="0.25">
      <c r="A75">
        <f t="shared" si="3"/>
        <v>25.26837184466082</v>
      </c>
      <c r="B75">
        <f t="shared" si="4"/>
        <v>2678.0394032587387</v>
      </c>
      <c r="C75">
        <f t="shared" si="5"/>
        <v>1157.1549103352149</v>
      </c>
    </row>
    <row r="76" spans="1:3" x14ac:dyDescent="0.25">
      <c r="A76">
        <f t="shared" si="3"/>
        <v>25.614513924724665</v>
      </c>
      <c r="B76">
        <f t="shared" si="4"/>
        <v>2714.7248745362554</v>
      </c>
      <c r="C76">
        <f t="shared" si="5"/>
        <v>1129.5616679274249</v>
      </c>
    </row>
    <row r="77" spans="1:3" x14ac:dyDescent="0.25">
      <c r="A77">
        <f t="shared" si="3"/>
        <v>25.960656004788511</v>
      </c>
      <c r="B77">
        <f t="shared" si="4"/>
        <v>2751.4103458137724</v>
      </c>
      <c r="C77">
        <f t="shared" si="5"/>
        <v>1100.7942449916441</v>
      </c>
    </row>
    <row r="78" spans="1:3" x14ac:dyDescent="0.25">
      <c r="A78">
        <f t="shared" si="3"/>
        <v>26.306798084852357</v>
      </c>
      <c r="B78">
        <f t="shared" si="4"/>
        <v>2788.0958170912891</v>
      </c>
      <c r="C78">
        <f t="shared" si="5"/>
        <v>1070.8526415278716</v>
      </c>
    </row>
    <row r="79" spans="1:3" x14ac:dyDescent="0.25">
      <c r="A79">
        <f t="shared" si="3"/>
        <v>26.652940164916203</v>
      </c>
      <c r="B79">
        <f t="shared" si="4"/>
        <v>2824.7812883688061</v>
      </c>
      <c r="C79">
        <f t="shared" si="5"/>
        <v>1039.7368575361079</v>
      </c>
    </row>
    <row r="80" spans="1:3" x14ac:dyDescent="0.25">
      <c r="A80">
        <f t="shared" si="3"/>
        <v>26.999082244980048</v>
      </c>
      <c r="B80">
        <f t="shared" si="4"/>
        <v>2861.4667596463228</v>
      </c>
      <c r="C80">
        <f t="shared" si="5"/>
        <v>1007.4468930163539</v>
      </c>
    </row>
    <row r="81" spans="1:3" x14ac:dyDescent="0.25">
      <c r="A81">
        <f t="shared" si="3"/>
        <v>27.345224325043894</v>
      </c>
      <c r="B81">
        <f t="shared" si="4"/>
        <v>2898.1522309238399</v>
      </c>
      <c r="C81">
        <f t="shared" si="5"/>
        <v>973.98274796860778</v>
      </c>
    </row>
    <row r="82" spans="1:3" x14ac:dyDescent="0.25">
      <c r="A82">
        <f t="shared" si="3"/>
        <v>27.69136640510774</v>
      </c>
      <c r="B82">
        <f t="shared" si="4"/>
        <v>2934.8377022013565</v>
      </c>
      <c r="C82">
        <f t="shared" si="5"/>
        <v>939.34442239287182</v>
      </c>
    </row>
    <row r="83" spans="1:3" x14ac:dyDescent="0.25">
      <c r="A83">
        <f t="shared" si="3"/>
        <v>28.037508485171585</v>
      </c>
      <c r="B83">
        <f t="shared" si="4"/>
        <v>2971.5231734788731</v>
      </c>
      <c r="C83">
        <f t="shared" si="5"/>
        <v>903.53191628914374</v>
      </c>
    </row>
    <row r="84" spans="1:3" x14ac:dyDescent="0.25">
      <c r="A84">
        <f t="shared" si="3"/>
        <v>28.383650565235431</v>
      </c>
      <c r="B84">
        <f t="shared" si="4"/>
        <v>3008.2086447563902</v>
      </c>
      <c r="C84">
        <f t="shared" si="5"/>
        <v>866.54522965742444</v>
      </c>
    </row>
    <row r="85" spans="1:3" x14ac:dyDescent="0.25">
      <c r="A85">
        <f t="shared" si="3"/>
        <v>28.729792645299277</v>
      </c>
      <c r="B85">
        <f t="shared" si="4"/>
        <v>3044.8941160339068</v>
      </c>
      <c r="C85">
        <f t="shared" si="5"/>
        <v>828.3843624977153</v>
      </c>
    </row>
    <row r="86" spans="1:3" x14ac:dyDescent="0.25">
      <c r="A86">
        <f t="shared" si="3"/>
        <v>29.075934725363123</v>
      </c>
      <c r="B86">
        <f t="shared" si="4"/>
        <v>3081.5795873114239</v>
      </c>
      <c r="C86">
        <f t="shared" si="5"/>
        <v>789.04931481001404</v>
      </c>
    </row>
    <row r="87" spans="1:3" x14ac:dyDescent="0.25">
      <c r="A87">
        <f t="shared" si="3"/>
        <v>29.422076805426968</v>
      </c>
      <c r="B87">
        <f t="shared" si="4"/>
        <v>3118.2650585889405</v>
      </c>
      <c r="C87">
        <f t="shared" si="5"/>
        <v>748.54008659432111</v>
      </c>
    </row>
    <row r="88" spans="1:3" x14ac:dyDescent="0.25">
      <c r="A88">
        <f t="shared" si="3"/>
        <v>29.768218885490814</v>
      </c>
      <c r="B88">
        <f t="shared" si="4"/>
        <v>3154.9505298664576</v>
      </c>
      <c r="C88">
        <f t="shared" si="5"/>
        <v>706.85667785063924</v>
      </c>
    </row>
    <row r="89" spans="1:3" x14ac:dyDescent="0.25">
      <c r="A89">
        <f t="shared" si="3"/>
        <v>30.11436096555466</v>
      </c>
      <c r="B89">
        <f t="shared" si="4"/>
        <v>3191.6360011439742</v>
      </c>
      <c r="C89">
        <f t="shared" si="5"/>
        <v>663.9990885789648</v>
      </c>
    </row>
    <row r="90" spans="1:3" x14ac:dyDescent="0.25">
      <c r="A90">
        <f t="shared" si="3"/>
        <v>30.460503045618506</v>
      </c>
      <c r="B90">
        <f t="shared" si="4"/>
        <v>3228.3214724214913</v>
      </c>
      <c r="C90">
        <f t="shared" si="5"/>
        <v>619.96731877929869</v>
      </c>
    </row>
    <row r="91" spans="1:3" x14ac:dyDescent="0.25">
      <c r="A91">
        <f t="shared" si="3"/>
        <v>30.806645125682351</v>
      </c>
      <c r="B91">
        <f t="shared" si="4"/>
        <v>3265.0069436990079</v>
      </c>
      <c r="C91">
        <f t="shared" si="5"/>
        <v>574.76136845164274</v>
      </c>
    </row>
    <row r="92" spans="1:3" x14ac:dyDescent="0.25">
      <c r="A92">
        <f t="shared" si="3"/>
        <v>31.152787205746197</v>
      </c>
      <c r="B92">
        <f t="shared" si="4"/>
        <v>3301.692414976525</v>
      </c>
      <c r="C92">
        <f t="shared" si="5"/>
        <v>528.38123759599603</v>
      </c>
    </row>
    <row r="93" spans="1:3" x14ac:dyDescent="0.25">
      <c r="A93">
        <f t="shared" si="3"/>
        <v>31.498929285810043</v>
      </c>
      <c r="B93">
        <f t="shared" si="4"/>
        <v>3338.3778862540416</v>
      </c>
      <c r="C93">
        <f t="shared" si="5"/>
        <v>480.82692621235765</v>
      </c>
    </row>
    <row r="94" spans="1:3" x14ac:dyDescent="0.25">
      <c r="A94">
        <f t="shared" si="3"/>
        <v>31.845071365873888</v>
      </c>
      <c r="B94">
        <f t="shared" si="4"/>
        <v>3375.0633575315587</v>
      </c>
      <c r="C94">
        <f t="shared" si="5"/>
        <v>432.0984343007276</v>
      </c>
    </row>
    <row r="95" spans="1:3" x14ac:dyDescent="0.25">
      <c r="A95">
        <f t="shared" si="3"/>
        <v>32.191213445937734</v>
      </c>
      <c r="B95">
        <f t="shared" si="4"/>
        <v>3411.7488288090753</v>
      </c>
      <c r="C95">
        <f t="shared" si="5"/>
        <v>382.19576186110771</v>
      </c>
    </row>
    <row r="96" spans="1:3" x14ac:dyDescent="0.25">
      <c r="A96">
        <f t="shared" si="3"/>
        <v>32.537355526001583</v>
      </c>
      <c r="B96">
        <f t="shared" si="4"/>
        <v>3448.4343000865929</v>
      </c>
      <c r="C96">
        <f t="shared" si="5"/>
        <v>331.11890889349434</v>
      </c>
    </row>
    <row r="97" spans="1:3" x14ac:dyDescent="0.25">
      <c r="A97">
        <f t="shared" si="3"/>
        <v>32.883497606065433</v>
      </c>
      <c r="B97">
        <f t="shared" si="4"/>
        <v>3485.11977136411</v>
      </c>
      <c r="C97">
        <f t="shared" si="5"/>
        <v>278.86787539789202</v>
      </c>
    </row>
    <row r="98" spans="1:3" x14ac:dyDescent="0.25">
      <c r="A98">
        <f t="shared" si="3"/>
        <v>33.229639686129282</v>
      </c>
      <c r="B98">
        <f t="shared" si="4"/>
        <v>3521.805242641627</v>
      </c>
      <c r="C98">
        <f t="shared" si="5"/>
        <v>225.44266137429713</v>
      </c>
    </row>
    <row r="99" spans="1:3" x14ac:dyDescent="0.25">
      <c r="A99">
        <f t="shared" si="3"/>
        <v>33.575781766193131</v>
      </c>
      <c r="B99">
        <f t="shared" si="4"/>
        <v>3558.4907139191446</v>
      </c>
      <c r="C99">
        <f t="shared" si="5"/>
        <v>170.84326682271239</v>
      </c>
    </row>
    <row r="100" spans="1:3" x14ac:dyDescent="0.25">
      <c r="A100">
        <f t="shared" si="3"/>
        <v>33.921923846256981</v>
      </c>
      <c r="B100">
        <f t="shared" si="4"/>
        <v>3595.1761851966617</v>
      </c>
      <c r="C100">
        <f t="shared" si="5"/>
        <v>115.06969174313599</v>
      </c>
    </row>
    <row r="101" spans="1:3" x14ac:dyDescent="0.25">
      <c r="A101">
        <f t="shared" si="3"/>
        <v>34.26806592632083</v>
      </c>
      <c r="B101">
        <f t="shared" si="4"/>
        <v>3631.8616564741787</v>
      </c>
      <c r="C101">
        <f t="shared" si="5"/>
        <v>58.121936135567921</v>
      </c>
    </row>
    <row r="102" spans="1:3" x14ac:dyDescent="0.25">
      <c r="A102">
        <f t="shared" si="3"/>
        <v>34.614208006384679</v>
      </c>
      <c r="B102">
        <f t="shared" si="4"/>
        <v>3668.5471277516963</v>
      </c>
      <c r="C102">
        <f t="shared" si="5"/>
        <v>0</v>
      </c>
    </row>
    <row r="103" spans="1:3" x14ac:dyDescent="0.25">
      <c r="A103">
        <f t="shared" si="3"/>
        <v>34.960350086448528</v>
      </c>
      <c r="B103">
        <f t="shared" si="4"/>
        <v>3705.2325990292134</v>
      </c>
      <c r="C103">
        <f t="shared" si="5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55C1-8B49-4CDA-B691-1294AB40DE4E}">
  <dimension ref="A1:M103"/>
  <sheetViews>
    <sheetView workbookViewId="0">
      <selection activeCell="U317" sqref="U317"/>
    </sheetView>
  </sheetViews>
  <sheetFormatPr defaultRowHeight="15" x14ac:dyDescent="0.25"/>
  <cols>
    <col min="1" max="1" width="12.140625" customWidth="1"/>
    <col min="2" max="2" width="12.7109375" customWidth="1"/>
    <col min="3" max="3" width="13" customWidth="1"/>
    <col min="4" max="4" width="10.85546875" customWidth="1"/>
    <col min="10" max="10" width="12.85546875" customWidth="1"/>
    <col min="11" max="11" width="12.5703125" customWidth="1"/>
    <col min="12" max="13" width="13.42578125" customWidth="1"/>
  </cols>
  <sheetData>
    <row r="1" spans="1:13" ht="16.5" thickTop="1" thickBot="1" x14ac:dyDescent="0.3">
      <c r="A1" s="1" t="s">
        <v>8</v>
      </c>
      <c r="B1" s="1" t="s">
        <v>7</v>
      </c>
      <c r="C1" s="1" t="s">
        <v>5</v>
      </c>
      <c r="D1" s="1" t="s">
        <v>6</v>
      </c>
      <c r="E1" s="1"/>
      <c r="F1" s="1" t="s">
        <v>1</v>
      </c>
      <c r="G1" s="1" t="s">
        <v>10</v>
      </c>
      <c r="H1" s="1" t="s">
        <v>2</v>
      </c>
      <c r="I1" s="1" t="s">
        <v>0</v>
      </c>
      <c r="J1" s="1" t="s">
        <v>9</v>
      </c>
      <c r="K1" s="1" t="s">
        <v>4</v>
      </c>
      <c r="L1" s="1" t="s">
        <v>11</v>
      </c>
      <c r="M1" s="1" t="s">
        <v>3</v>
      </c>
    </row>
    <row r="2" spans="1:13" ht="13.5" customHeight="1" thickTop="1" x14ac:dyDescent="0.25">
      <c r="A2">
        <v>0</v>
      </c>
      <c r="B2">
        <f>A2*$J$2</f>
        <v>0</v>
      </c>
      <c r="C2">
        <f>IF($K$2*A2-$H$2*A2*A2/2&gt;0.001,$K$2*A2-$H$2*A2*A2/2,0)</f>
        <v>0</v>
      </c>
      <c r="D2">
        <f>L2/100</f>
        <v>0.28861501272920298</v>
      </c>
      <c r="F2">
        <v>45</v>
      </c>
      <c r="G2">
        <f>F2*PI()/180</f>
        <v>0.78539816339744828</v>
      </c>
      <c r="H2">
        <v>-9.8000000000000007</v>
      </c>
      <c r="I2">
        <v>200</v>
      </c>
      <c r="J2">
        <f>I2*COS(G2)</f>
        <v>141.42135623730951</v>
      </c>
      <c r="K2">
        <f>I2*SIN(G2)</f>
        <v>141.42135623730948</v>
      </c>
      <c r="L2">
        <f>-K2/H2*2</f>
        <v>28.8615012729203</v>
      </c>
      <c r="M2">
        <f>B102</f>
        <v>4081.6326530612196</v>
      </c>
    </row>
    <row r="3" spans="1:13" x14ac:dyDescent="0.25">
      <c r="A3">
        <f>A2+$D$2</f>
        <v>0.28861501272920298</v>
      </c>
      <c r="B3">
        <f>A3*$J$2</f>
        <v>40.816326530612237</v>
      </c>
      <c r="C3">
        <f>IF(K$2*A3+H$2*A3*A3/2&gt;0.001,K$2*A3+H$2*A3*A3/2,0)</f>
        <v>40.408163265306101</v>
      </c>
    </row>
    <row r="4" spans="1:13" x14ac:dyDescent="0.25">
      <c r="A4">
        <f t="shared" ref="A4:A67" si="0">A3+$D$2</f>
        <v>0.57723002545840596</v>
      </c>
      <c r="B4">
        <f t="shared" ref="B4:B67" si="1">A4*$J$2</f>
        <v>81.632653061224474</v>
      </c>
      <c r="C4">
        <f t="shared" ref="C4:C67" si="2">IF(K$2*A4+H$2*A4*A4/2&gt;0.001,K$2*A4+H$2*A4*A4/2,0)</f>
        <v>79.999999999999957</v>
      </c>
    </row>
    <row r="5" spans="1:13" x14ac:dyDescent="0.25">
      <c r="A5">
        <f t="shared" si="0"/>
        <v>0.86584503818760894</v>
      </c>
      <c r="B5">
        <f t="shared" si="1"/>
        <v>122.4489795918367</v>
      </c>
      <c r="C5">
        <f t="shared" si="2"/>
        <v>118.77551020408157</v>
      </c>
    </row>
    <row r="6" spans="1:13" x14ac:dyDescent="0.25">
      <c r="A6">
        <f t="shared" si="0"/>
        <v>1.1544600509168119</v>
      </c>
      <c r="B6">
        <f t="shared" si="1"/>
        <v>163.26530612244895</v>
      </c>
      <c r="C6">
        <f t="shared" si="2"/>
        <v>156.73469387755094</v>
      </c>
    </row>
    <row r="7" spans="1:13" x14ac:dyDescent="0.25">
      <c r="A7">
        <f t="shared" si="0"/>
        <v>1.443075063646015</v>
      </c>
      <c r="B7">
        <f t="shared" si="1"/>
        <v>204.08163265306118</v>
      </c>
      <c r="C7">
        <f t="shared" si="2"/>
        <v>193.87755102040808</v>
      </c>
    </row>
    <row r="8" spans="1:13" x14ac:dyDescent="0.25">
      <c r="A8">
        <f t="shared" si="0"/>
        <v>1.7316900763752181</v>
      </c>
      <c r="B8">
        <f t="shared" si="1"/>
        <v>244.89795918367344</v>
      </c>
      <c r="C8">
        <f t="shared" si="2"/>
        <v>230.20408163265299</v>
      </c>
    </row>
    <row r="9" spans="1:13" x14ac:dyDescent="0.25">
      <c r="A9">
        <f t="shared" si="0"/>
        <v>2.0203050891044212</v>
      </c>
      <c r="B9">
        <f t="shared" si="1"/>
        <v>285.71428571428567</v>
      </c>
      <c r="C9">
        <f t="shared" si="2"/>
        <v>265.71428571428561</v>
      </c>
    </row>
    <row r="10" spans="1:13" x14ac:dyDescent="0.25">
      <c r="A10">
        <f t="shared" si="0"/>
        <v>2.3089201018336243</v>
      </c>
      <c r="B10">
        <f t="shared" si="1"/>
        <v>326.53061224489795</v>
      </c>
      <c r="C10">
        <f t="shared" si="2"/>
        <v>300.40816326530603</v>
      </c>
    </row>
    <row r="11" spans="1:13" x14ac:dyDescent="0.25">
      <c r="A11">
        <f t="shared" si="0"/>
        <v>2.5975351145628274</v>
      </c>
      <c r="B11">
        <f t="shared" si="1"/>
        <v>367.34693877551018</v>
      </c>
      <c r="C11">
        <f t="shared" si="2"/>
        <v>334.28571428571422</v>
      </c>
    </row>
    <row r="12" spans="1:13" x14ac:dyDescent="0.25">
      <c r="A12">
        <f t="shared" si="0"/>
        <v>2.8861501272920305</v>
      </c>
      <c r="B12">
        <f t="shared" si="1"/>
        <v>408.16326530612241</v>
      </c>
      <c r="C12">
        <f t="shared" si="2"/>
        <v>367.34693877551013</v>
      </c>
    </row>
    <row r="13" spans="1:13" x14ac:dyDescent="0.25">
      <c r="A13">
        <f t="shared" si="0"/>
        <v>3.1747651400212336</v>
      </c>
      <c r="B13">
        <f t="shared" si="1"/>
        <v>448.9795918367347</v>
      </c>
      <c r="C13">
        <f t="shared" si="2"/>
        <v>399.59183673469374</v>
      </c>
    </row>
    <row r="14" spans="1:13" x14ac:dyDescent="0.25">
      <c r="A14">
        <f t="shared" si="0"/>
        <v>3.4633801527504366</v>
      </c>
      <c r="B14">
        <f t="shared" si="1"/>
        <v>489.79591836734693</v>
      </c>
      <c r="C14">
        <f t="shared" si="2"/>
        <v>431.02040816326519</v>
      </c>
    </row>
    <row r="15" spans="1:13" x14ac:dyDescent="0.25">
      <c r="A15">
        <f t="shared" si="0"/>
        <v>3.7519951654796397</v>
      </c>
      <c r="B15">
        <f t="shared" si="1"/>
        <v>530.61224489795916</v>
      </c>
      <c r="C15">
        <f t="shared" si="2"/>
        <v>461.63265306122435</v>
      </c>
    </row>
    <row r="16" spans="1:13" x14ac:dyDescent="0.25">
      <c r="A16">
        <f t="shared" si="0"/>
        <v>4.0406101782088424</v>
      </c>
      <c r="B16">
        <f t="shared" si="1"/>
        <v>571.42857142857133</v>
      </c>
      <c r="C16">
        <f t="shared" si="2"/>
        <v>491.42857142857122</v>
      </c>
    </row>
    <row r="17" spans="1:3" x14ac:dyDescent="0.25">
      <c r="A17">
        <f t="shared" si="0"/>
        <v>4.329225190938045</v>
      </c>
      <c r="B17">
        <f t="shared" si="1"/>
        <v>612.2448979591835</v>
      </c>
      <c r="C17">
        <f t="shared" si="2"/>
        <v>520.40816326530592</v>
      </c>
    </row>
    <row r="18" spans="1:3" x14ac:dyDescent="0.25">
      <c r="A18">
        <f t="shared" si="0"/>
        <v>4.6178402036672477</v>
      </c>
      <c r="B18">
        <f t="shared" si="1"/>
        <v>653.06122448979579</v>
      </c>
      <c r="C18">
        <f t="shared" si="2"/>
        <v>548.57142857142821</v>
      </c>
    </row>
    <row r="19" spans="1:3" x14ac:dyDescent="0.25">
      <c r="A19">
        <f t="shared" si="0"/>
        <v>4.9064552163964503</v>
      </c>
      <c r="B19">
        <f t="shared" si="1"/>
        <v>693.87755102040796</v>
      </c>
      <c r="C19">
        <f t="shared" si="2"/>
        <v>575.91836734693845</v>
      </c>
    </row>
    <row r="20" spans="1:3" x14ac:dyDescent="0.25">
      <c r="A20">
        <f t="shared" si="0"/>
        <v>5.195070229125653</v>
      </c>
      <c r="B20">
        <f t="shared" si="1"/>
        <v>734.69387755102014</v>
      </c>
      <c r="C20">
        <f t="shared" si="2"/>
        <v>602.44897959183641</v>
      </c>
    </row>
    <row r="21" spans="1:3" x14ac:dyDescent="0.25">
      <c r="A21">
        <f t="shared" si="0"/>
        <v>5.4836852418548556</v>
      </c>
      <c r="B21">
        <f t="shared" si="1"/>
        <v>775.51020408163231</v>
      </c>
      <c r="C21">
        <f t="shared" si="2"/>
        <v>628.16326530612218</v>
      </c>
    </row>
    <row r="22" spans="1:3" x14ac:dyDescent="0.25">
      <c r="A22">
        <f t="shared" si="0"/>
        <v>5.7723002545840583</v>
      </c>
      <c r="B22">
        <f t="shared" si="1"/>
        <v>816.32653061224448</v>
      </c>
      <c r="C22">
        <f t="shared" si="2"/>
        <v>653.06122448979556</v>
      </c>
    </row>
    <row r="23" spans="1:3" x14ac:dyDescent="0.25">
      <c r="A23">
        <f t="shared" si="0"/>
        <v>6.0609152673132609</v>
      </c>
      <c r="B23">
        <f t="shared" si="1"/>
        <v>857.14285714285666</v>
      </c>
      <c r="C23">
        <f t="shared" si="2"/>
        <v>677.14285714285677</v>
      </c>
    </row>
    <row r="24" spans="1:3" x14ac:dyDescent="0.25">
      <c r="A24">
        <f t="shared" si="0"/>
        <v>6.3495302800424636</v>
      </c>
      <c r="B24">
        <f t="shared" si="1"/>
        <v>897.95918367346883</v>
      </c>
      <c r="C24">
        <f t="shared" si="2"/>
        <v>700.40816326530569</v>
      </c>
    </row>
    <row r="25" spans="1:3" x14ac:dyDescent="0.25">
      <c r="A25">
        <f t="shared" si="0"/>
        <v>6.6381452927716662</v>
      </c>
      <c r="B25">
        <f t="shared" si="1"/>
        <v>938.775510204081</v>
      </c>
      <c r="C25">
        <f t="shared" si="2"/>
        <v>722.85714285714243</v>
      </c>
    </row>
    <row r="26" spans="1:3" x14ac:dyDescent="0.25">
      <c r="A26">
        <f t="shared" si="0"/>
        <v>6.9267603055008689</v>
      </c>
      <c r="B26">
        <f t="shared" si="1"/>
        <v>979.59183673469317</v>
      </c>
      <c r="C26">
        <f t="shared" si="2"/>
        <v>744.48979591836689</v>
      </c>
    </row>
    <row r="27" spans="1:3" x14ac:dyDescent="0.25">
      <c r="A27">
        <f t="shared" si="0"/>
        <v>7.2153753182300715</v>
      </c>
      <c r="B27">
        <f t="shared" si="1"/>
        <v>1020.4081632653055</v>
      </c>
      <c r="C27">
        <f t="shared" si="2"/>
        <v>765.30612244897907</v>
      </c>
    </row>
    <row r="28" spans="1:3" x14ac:dyDescent="0.25">
      <c r="A28">
        <f t="shared" si="0"/>
        <v>7.5039903309592741</v>
      </c>
      <c r="B28">
        <f t="shared" si="1"/>
        <v>1061.2244897959176</v>
      </c>
      <c r="C28">
        <f t="shared" si="2"/>
        <v>785.30612244897907</v>
      </c>
    </row>
    <row r="29" spans="1:3" x14ac:dyDescent="0.25">
      <c r="A29">
        <f t="shared" si="0"/>
        <v>7.7926053436884768</v>
      </c>
      <c r="B29">
        <f t="shared" si="1"/>
        <v>1102.0408163265297</v>
      </c>
      <c r="C29">
        <f t="shared" si="2"/>
        <v>804.48979591836655</v>
      </c>
    </row>
    <row r="30" spans="1:3" x14ac:dyDescent="0.25">
      <c r="A30">
        <f t="shared" si="0"/>
        <v>8.0812203564176794</v>
      </c>
      <c r="B30">
        <f t="shared" si="1"/>
        <v>1142.857142857142</v>
      </c>
      <c r="C30">
        <f t="shared" si="2"/>
        <v>822.85714285714221</v>
      </c>
    </row>
    <row r="31" spans="1:3" x14ac:dyDescent="0.25">
      <c r="A31">
        <f t="shared" si="0"/>
        <v>8.3698353691468821</v>
      </c>
      <c r="B31">
        <f t="shared" si="1"/>
        <v>1183.6734693877543</v>
      </c>
      <c r="C31">
        <f t="shared" si="2"/>
        <v>840.40816326530535</v>
      </c>
    </row>
    <row r="32" spans="1:3" x14ac:dyDescent="0.25">
      <c r="A32">
        <f t="shared" si="0"/>
        <v>8.6584503818760847</v>
      </c>
      <c r="B32">
        <f t="shared" si="1"/>
        <v>1224.4897959183663</v>
      </c>
      <c r="C32">
        <f t="shared" si="2"/>
        <v>857.14285714285643</v>
      </c>
    </row>
    <row r="33" spans="1:3" x14ac:dyDescent="0.25">
      <c r="A33">
        <f t="shared" si="0"/>
        <v>8.9470653946052874</v>
      </c>
      <c r="B33">
        <f t="shared" si="1"/>
        <v>1265.3061224489786</v>
      </c>
      <c r="C33">
        <f t="shared" si="2"/>
        <v>873.06122448979545</v>
      </c>
    </row>
    <row r="34" spans="1:3" x14ac:dyDescent="0.25">
      <c r="A34">
        <f t="shared" si="0"/>
        <v>9.23568040733449</v>
      </c>
      <c r="B34">
        <f t="shared" si="1"/>
        <v>1306.1224489795907</v>
      </c>
      <c r="C34">
        <f t="shared" si="2"/>
        <v>888.16326530612173</v>
      </c>
    </row>
    <row r="35" spans="1:3" x14ac:dyDescent="0.25">
      <c r="A35">
        <f t="shared" si="0"/>
        <v>9.5242954200636927</v>
      </c>
      <c r="B35">
        <f t="shared" si="1"/>
        <v>1346.938775510203</v>
      </c>
      <c r="C35">
        <f t="shared" si="2"/>
        <v>902.44897959183618</v>
      </c>
    </row>
    <row r="36" spans="1:3" x14ac:dyDescent="0.25">
      <c r="A36">
        <f t="shared" si="0"/>
        <v>9.8129104327928953</v>
      </c>
      <c r="B36">
        <f t="shared" si="1"/>
        <v>1387.755102040815</v>
      </c>
      <c r="C36">
        <f t="shared" si="2"/>
        <v>915.91836734693811</v>
      </c>
    </row>
    <row r="37" spans="1:3" x14ac:dyDescent="0.25">
      <c r="A37">
        <f t="shared" si="0"/>
        <v>10.101525445522098</v>
      </c>
      <c r="B37">
        <f t="shared" si="1"/>
        <v>1428.5714285714273</v>
      </c>
      <c r="C37">
        <f t="shared" si="2"/>
        <v>928.57142857142799</v>
      </c>
    </row>
    <row r="38" spans="1:3" x14ac:dyDescent="0.25">
      <c r="A38">
        <f t="shared" si="0"/>
        <v>10.390140458251301</v>
      </c>
      <c r="B38">
        <f t="shared" si="1"/>
        <v>1469.3877551020394</v>
      </c>
      <c r="C38">
        <f t="shared" si="2"/>
        <v>940.40816326530535</v>
      </c>
    </row>
    <row r="39" spans="1:3" x14ac:dyDescent="0.25">
      <c r="A39">
        <f t="shared" si="0"/>
        <v>10.678755470980503</v>
      </c>
      <c r="B39">
        <f t="shared" si="1"/>
        <v>1510.2040816326517</v>
      </c>
      <c r="C39">
        <f t="shared" si="2"/>
        <v>951.42857142857088</v>
      </c>
    </row>
    <row r="40" spans="1:3" x14ac:dyDescent="0.25">
      <c r="A40">
        <f t="shared" si="0"/>
        <v>10.967370483709706</v>
      </c>
      <c r="B40">
        <f t="shared" si="1"/>
        <v>1551.0204081632639</v>
      </c>
      <c r="C40">
        <f t="shared" si="2"/>
        <v>961.63265306122378</v>
      </c>
    </row>
    <row r="41" spans="1:3" x14ac:dyDescent="0.25">
      <c r="A41">
        <f t="shared" si="0"/>
        <v>11.255985496438909</v>
      </c>
      <c r="B41">
        <f t="shared" si="1"/>
        <v>1591.836734693876</v>
      </c>
      <c r="C41">
        <f t="shared" si="2"/>
        <v>971.02040816326473</v>
      </c>
    </row>
    <row r="42" spans="1:3" x14ac:dyDescent="0.25">
      <c r="A42">
        <f t="shared" si="0"/>
        <v>11.544600509168111</v>
      </c>
      <c r="B42">
        <f t="shared" si="1"/>
        <v>1632.6530612244883</v>
      </c>
      <c r="C42">
        <f t="shared" si="2"/>
        <v>979.59183673469317</v>
      </c>
    </row>
    <row r="43" spans="1:3" x14ac:dyDescent="0.25">
      <c r="A43">
        <f t="shared" si="0"/>
        <v>11.833215521897314</v>
      </c>
      <c r="B43">
        <f t="shared" si="1"/>
        <v>1673.4693877551003</v>
      </c>
      <c r="C43">
        <f t="shared" si="2"/>
        <v>987.34693877550967</v>
      </c>
    </row>
    <row r="44" spans="1:3" x14ac:dyDescent="0.25">
      <c r="A44">
        <f t="shared" si="0"/>
        <v>12.121830534626516</v>
      </c>
      <c r="B44">
        <f t="shared" si="1"/>
        <v>1714.2857142857126</v>
      </c>
      <c r="C44">
        <f t="shared" si="2"/>
        <v>994.28571428571365</v>
      </c>
    </row>
    <row r="45" spans="1:3" x14ac:dyDescent="0.25">
      <c r="A45">
        <f t="shared" si="0"/>
        <v>12.410445547355719</v>
      </c>
      <c r="B45">
        <f t="shared" si="1"/>
        <v>1755.1020408163247</v>
      </c>
      <c r="C45">
        <f t="shared" si="2"/>
        <v>1000.4081632653056</v>
      </c>
    </row>
    <row r="46" spans="1:3" x14ac:dyDescent="0.25">
      <c r="A46">
        <f t="shared" si="0"/>
        <v>12.699060560084922</v>
      </c>
      <c r="B46">
        <f t="shared" si="1"/>
        <v>1795.918367346937</v>
      </c>
      <c r="C46">
        <f t="shared" si="2"/>
        <v>1005.714285714285</v>
      </c>
    </row>
    <row r="47" spans="1:3" x14ac:dyDescent="0.25">
      <c r="A47">
        <f t="shared" si="0"/>
        <v>12.987675572814124</v>
      </c>
      <c r="B47">
        <f t="shared" si="1"/>
        <v>1836.734693877549</v>
      </c>
      <c r="C47">
        <f t="shared" si="2"/>
        <v>1010.2040816326526</v>
      </c>
    </row>
    <row r="48" spans="1:3" x14ac:dyDescent="0.25">
      <c r="A48">
        <f t="shared" si="0"/>
        <v>13.276290585543327</v>
      </c>
      <c r="B48">
        <f t="shared" si="1"/>
        <v>1877.5510204081613</v>
      </c>
      <c r="C48">
        <f t="shared" si="2"/>
        <v>1013.8775510204076</v>
      </c>
    </row>
    <row r="49" spans="1:3" x14ac:dyDescent="0.25">
      <c r="A49">
        <f t="shared" si="0"/>
        <v>13.56490559827253</v>
      </c>
      <c r="B49">
        <f t="shared" si="1"/>
        <v>1918.3673469387736</v>
      </c>
      <c r="C49">
        <f t="shared" si="2"/>
        <v>1016.7346938775504</v>
      </c>
    </row>
    <row r="50" spans="1:3" x14ac:dyDescent="0.25">
      <c r="A50">
        <f t="shared" si="0"/>
        <v>13.853520611001732</v>
      </c>
      <c r="B50">
        <f t="shared" si="1"/>
        <v>1959.1836734693857</v>
      </c>
      <c r="C50">
        <f t="shared" si="2"/>
        <v>1018.775510204081</v>
      </c>
    </row>
    <row r="51" spans="1:3" x14ac:dyDescent="0.25">
      <c r="A51">
        <f t="shared" si="0"/>
        <v>14.142135623730935</v>
      </c>
      <c r="B51">
        <f t="shared" si="1"/>
        <v>1999.999999999998</v>
      </c>
      <c r="C51">
        <f t="shared" si="2"/>
        <v>1019.9999999999995</v>
      </c>
    </row>
    <row r="52" spans="1:3" x14ac:dyDescent="0.25">
      <c r="A52">
        <f t="shared" si="0"/>
        <v>14.430750636460138</v>
      </c>
      <c r="B52">
        <f t="shared" si="1"/>
        <v>2040.81632653061</v>
      </c>
      <c r="C52">
        <f t="shared" si="2"/>
        <v>1020.4081632653056</v>
      </c>
    </row>
    <row r="53" spans="1:3" x14ac:dyDescent="0.25">
      <c r="A53">
        <f t="shared" si="0"/>
        <v>14.71936564918934</v>
      </c>
      <c r="B53">
        <f t="shared" si="1"/>
        <v>2081.6326530612223</v>
      </c>
      <c r="C53">
        <f t="shared" si="2"/>
        <v>1019.9999999999995</v>
      </c>
    </row>
    <row r="54" spans="1:3" x14ac:dyDescent="0.25">
      <c r="A54">
        <f t="shared" si="0"/>
        <v>15.007980661918543</v>
      </c>
      <c r="B54">
        <f t="shared" si="1"/>
        <v>2122.4489795918344</v>
      </c>
      <c r="C54">
        <f t="shared" si="2"/>
        <v>1018.7755102040812</v>
      </c>
    </row>
    <row r="55" spans="1:3" x14ac:dyDescent="0.25">
      <c r="A55">
        <f t="shared" si="0"/>
        <v>15.296595674647746</v>
      </c>
      <c r="B55">
        <f t="shared" si="1"/>
        <v>2163.2653061224464</v>
      </c>
      <c r="C55">
        <f t="shared" si="2"/>
        <v>1016.7346938775509</v>
      </c>
    </row>
    <row r="56" spans="1:3" x14ac:dyDescent="0.25">
      <c r="A56">
        <f t="shared" si="0"/>
        <v>15.585210687376948</v>
      </c>
      <c r="B56">
        <f t="shared" si="1"/>
        <v>2204.0816326530589</v>
      </c>
      <c r="C56">
        <f t="shared" si="2"/>
        <v>1013.877551020408</v>
      </c>
    </row>
    <row r="57" spans="1:3" x14ac:dyDescent="0.25">
      <c r="A57">
        <f t="shared" si="0"/>
        <v>15.873825700106151</v>
      </c>
      <c r="B57">
        <f t="shared" si="1"/>
        <v>2244.897959183671</v>
      </c>
      <c r="C57">
        <f t="shared" si="2"/>
        <v>1010.2040816326528</v>
      </c>
    </row>
    <row r="58" spans="1:3" x14ac:dyDescent="0.25">
      <c r="A58">
        <f t="shared" si="0"/>
        <v>16.162440712835355</v>
      </c>
      <c r="B58">
        <f t="shared" si="1"/>
        <v>2285.7142857142835</v>
      </c>
      <c r="C58">
        <f t="shared" si="2"/>
        <v>1005.7142857142856</v>
      </c>
    </row>
    <row r="59" spans="1:3" x14ac:dyDescent="0.25">
      <c r="A59">
        <f t="shared" si="0"/>
        <v>16.451055725564558</v>
      </c>
      <c r="B59">
        <f t="shared" si="1"/>
        <v>2326.5306122448956</v>
      </c>
      <c r="C59">
        <f t="shared" si="2"/>
        <v>1000.4081632653058</v>
      </c>
    </row>
    <row r="60" spans="1:3" x14ac:dyDescent="0.25">
      <c r="A60">
        <f t="shared" si="0"/>
        <v>16.739670738293761</v>
      </c>
      <c r="B60">
        <f t="shared" si="1"/>
        <v>2367.3469387755076</v>
      </c>
      <c r="C60">
        <f t="shared" si="2"/>
        <v>994.28571428571399</v>
      </c>
    </row>
    <row r="61" spans="1:3" x14ac:dyDescent="0.25">
      <c r="A61">
        <f t="shared" si="0"/>
        <v>17.028285751022963</v>
      </c>
      <c r="B61">
        <f t="shared" si="1"/>
        <v>2408.1632653061201</v>
      </c>
      <c r="C61">
        <f t="shared" si="2"/>
        <v>987.34693877551035</v>
      </c>
    </row>
    <row r="62" spans="1:3" x14ac:dyDescent="0.25">
      <c r="A62">
        <f t="shared" si="0"/>
        <v>17.316900763752166</v>
      </c>
      <c r="B62">
        <f t="shared" si="1"/>
        <v>2448.9795918367322</v>
      </c>
      <c r="C62">
        <f t="shared" si="2"/>
        <v>979.59183673469397</v>
      </c>
    </row>
    <row r="63" spans="1:3" x14ac:dyDescent="0.25">
      <c r="A63">
        <f t="shared" si="0"/>
        <v>17.605515776481369</v>
      </c>
      <c r="B63">
        <f t="shared" si="1"/>
        <v>2489.7959183673443</v>
      </c>
      <c r="C63">
        <f t="shared" si="2"/>
        <v>971.0204081632653</v>
      </c>
    </row>
    <row r="64" spans="1:3" x14ac:dyDescent="0.25">
      <c r="A64">
        <f t="shared" si="0"/>
        <v>17.894130789210571</v>
      </c>
      <c r="B64">
        <f t="shared" si="1"/>
        <v>2530.6122448979568</v>
      </c>
      <c r="C64">
        <f t="shared" si="2"/>
        <v>961.63265306122435</v>
      </c>
    </row>
    <row r="65" spans="1:3" x14ac:dyDescent="0.25">
      <c r="A65">
        <f t="shared" si="0"/>
        <v>18.182745801939774</v>
      </c>
      <c r="B65">
        <f t="shared" si="1"/>
        <v>2571.4285714285688</v>
      </c>
      <c r="C65">
        <f t="shared" si="2"/>
        <v>951.42857142857179</v>
      </c>
    </row>
    <row r="66" spans="1:3" x14ac:dyDescent="0.25">
      <c r="A66">
        <f t="shared" si="0"/>
        <v>18.471360814668977</v>
      </c>
      <c r="B66">
        <f t="shared" si="1"/>
        <v>2612.2448979591809</v>
      </c>
      <c r="C66">
        <f t="shared" si="2"/>
        <v>940.40816326530648</v>
      </c>
    </row>
    <row r="67" spans="1:3" x14ac:dyDescent="0.25">
      <c r="A67">
        <f t="shared" si="0"/>
        <v>18.759975827398179</v>
      </c>
      <c r="B67">
        <f t="shared" si="1"/>
        <v>2653.0612244897929</v>
      </c>
      <c r="C67">
        <f t="shared" si="2"/>
        <v>928.5714285714289</v>
      </c>
    </row>
    <row r="68" spans="1:3" x14ac:dyDescent="0.25">
      <c r="A68">
        <f t="shared" ref="A68:A131" si="3">A67+$D$2</f>
        <v>19.048590840127382</v>
      </c>
      <c r="B68">
        <f t="shared" ref="B68:B103" si="4">A68*$J$2</f>
        <v>2693.8775510204055</v>
      </c>
      <c r="C68">
        <f t="shared" ref="C68:C103" si="5">IF(K$2*A68+H$2*A68*A68/2&gt;0.001,K$2*A68+H$2*A68*A68/2,0)</f>
        <v>915.91836734693902</v>
      </c>
    </row>
    <row r="69" spans="1:3" x14ac:dyDescent="0.25">
      <c r="A69">
        <f t="shared" si="3"/>
        <v>19.337205852856584</v>
      </c>
      <c r="B69">
        <f t="shared" si="4"/>
        <v>2734.6938775510175</v>
      </c>
      <c r="C69">
        <f t="shared" si="5"/>
        <v>902.44897959183731</v>
      </c>
    </row>
    <row r="70" spans="1:3" x14ac:dyDescent="0.25">
      <c r="A70">
        <f t="shared" si="3"/>
        <v>19.625820865585787</v>
      </c>
      <c r="B70">
        <f t="shared" si="4"/>
        <v>2775.5102040816296</v>
      </c>
      <c r="C70">
        <f t="shared" si="5"/>
        <v>888.16326530612309</v>
      </c>
    </row>
    <row r="71" spans="1:3" x14ac:dyDescent="0.25">
      <c r="A71">
        <f t="shared" si="3"/>
        <v>19.91443587831499</v>
      </c>
      <c r="B71">
        <f t="shared" si="4"/>
        <v>2816.3265306122416</v>
      </c>
      <c r="C71">
        <f t="shared" si="5"/>
        <v>873.06122448979659</v>
      </c>
    </row>
    <row r="72" spans="1:3" x14ac:dyDescent="0.25">
      <c r="A72">
        <f t="shared" si="3"/>
        <v>20.203050891044192</v>
      </c>
      <c r="B72">
        <f t="shared" si="4"/>
        <v>2857.1428571428542</v>
      </c>
      <c r="C72">
        <f t="shared" si="5"/>
        <v>857.14285714285825</v>
      </c>
    </row>
    <row r="73" spans="1:3" x14ac:dyDescent="0.25">
      <c r="A73">
        <f t="shared" si="3"/>
        <v>20.491665903773395</v>
      </c>
      <c r="B73">
        <f t="shared" si="4"/>
        <v>2897.9591836734662</v>
      </c>
      <c r="C73">
        <f t="shared" si="5"/>
        <v>840.40816326530694</v>
      </c>
    </row>
    <row r="74" spans="1:3" x14ac:dyDescent="0.25">
      <c r="A74">
        <f t="shared" si="3"/>
        <v>20.780280916502598</v>
      </c>
      <c r="B74">
        <f t="shared" si="4"/>
        <v>2938.7755102040783</v>
      </c>
      <c r="C74">
        <f t="shared" si="5"/>
        <v>822.85714285714357</v>
      </c>
    </row>
    <row r="75" spans="1:3" x14ac:dyDescent="0.25">
      <c r="A75">
        <f t="shared" si="3"/>
        <v>21.0688959292318</v>
      </c>
      <c r="B75">
        <f t="shared" si="4"/>
        <v>2979.5918367346908</v>
      </c>
      <c r="C75">
        <f t="shared" si="5"/>
        <v>804.48979591836815</v>
      </c>
    </row>
    <row r="76" spans="1:3" x14ac:dyDescent="0.25">
      <c r="A76">
        <f t="shared" si="3"/>
        <v>21.357510941961003</v>
      </c>
      <c r="B76">
        <f t="shared" si="4"/>
        <v>3020.4081632653028</v>
      </c>
      <c r="C76">
        <f t="shared" si="5"/>
        <v>785.30612244898066</v>
      </c>
    </row>
    <row r="77" spans="1:3" x14ac:dyDescent="0.25">
      <c r="A77">
        <f t="shared" si="3"/>
        <v>21.646125954690206</v>
      </c>
      <c r="B77">
        <f t="shared" si="4"/>
        <v>3061.2244897959149</v>
      </c>
      <c r="C77">
        <f t="shared" si="5"/>
        <v>765.30612244898066</v>
      </c>
    </row>
    <row r="78" spans="1:3" x14ac:dyDescent="0.25">
      <c r="A78">
        <f t="shared" si="3"/>
        <v>21.934740967419408</v>
      </c>
      <c r="B78">
        <f t="shared" si="4"/>
        <v>3102.040816326527</v>
      </c>
      <c r="C78">
        <f t="shared" si="5"/>
        <v>744.4897959183686</v>
      </c>
    </row>
    <row r="79" spans="1:3" x14ac:dyDescent="0.25">
      <c r="A79">
        <f t="shared" si="3"/>
        <v>22.223355980148611</v>
      </c>
      <c r="B79">
        <f t="shared" si="4"/>
        <v>3142.8571428571395</v>
      </c>
      <c r="C79">
        <f t="shared" si="5"/>
        <v>722.85714285714403</v>
      </c>
    </row>
    <row r="80" spans="1:3" x14ac:dyDescent="0.25">
      <c r="A80">
        <f t="shared" si="3"/>
        <v>22.511970992877814</v>
      </c>
      <c r="B80">
        <f t="shared" si="4"/>
        <v>3183.6734693877515</v>
      </c>
      <c r="C80">
        <f t="shared" si="5"/>
        <v>700.40816326530785</v>
      </c>
    </row>
    <row r="81" spans="1:3" x14ac:dyDescent="0.25">
      <c r="A81">
        <f t="shared" si="3"/>
        <v>22.800586005607016</v>
      </c>
      <c r="B81">
        <f t="shared" si="4"/>
        <v>3224.4897959183636</v>
      </c>
      <c r="C81">
        <f t="shared" si="5"/>
        <v>677.1428571428587</v>
      </c>
    </row>
    <row r="82" spans="1:3" x14ac:dyDescent="0.25">
      <c r="A82">
        <f t="shared" si="3"/>
        <v>23.089201018336219</v>
      </c>
      <c r="B82">
        <f t="shared" si="4"/>
        <v>3265.3061224489761</v>
      </c>
      <c r="C82">
        <f t="shared" si="5"/>
        <v>653.0612244897975</v>
      </c>
    </row>
    <row r="83" spans="1:3" x14ac:dyDescent="0.25">
      <c r="A83">
        <f t="shared" si="3"/>
        <v>23.377816031065421</v>
      </c>
      <c r="B83">
        <f t="shared" si="4"/>
        <v>3306.1224489795882</v>
      </c>
      <c r="C83">
        <f t="shared" si="5"/>
        <v>628.16326530612378</v>
      </c>
    </row>
    <row r="84" spans="1:3" x14ac:dyDescent="0.25">
      <c r="A84">
        <f t="shared" si="3"/>
        <v>23.666431043794624</v>
      </c>
      <c r="B84">
        <f t="shared" si="4"/>
        <v>3346.9387755102002</v>
      </c>
      <c r="C84">
        <f t="shared" si="5"/>
        <v>602.44897959183891</v>
      </c>
    </row>
    <row r="85" spans="1:3" x14ac:dyDescent="0.25">
      <c r="A85">
        <f t="shared" si="3"/>
        <v>23.955046056523827</v>
      </c>
      <c r="B85">
        <f t="shared" si="4"/>
        <v>3387.7551020408123</v>
      </c>
      <c r="C85">
        <f t="shared" si="5"/>
        <v>575.91836734694061</v>
      </c>
    </row>
    <row r="86" spans="1:3" x14ac:dyDescent="0.25">
      <c r="A86">
        <f t="shared" si="3"/>
        <v>24.243661069253029</v>
      </c>
      <c r="B86">
        <f t="shared" si="4"/>
        <v>3428.5714285714248</v>
      </c>
      <c r="C86">
        <f t="shared" si="5"/>
        <v>548.57142857143072</v>
      </c>
    </row>
    <row r="87" spans="1:3" x14ac:dyDescent="0.25">
      <c r="A87">
        <f t="shared" si="3"/>
        <v>24.532276081982232</v>
      </c>
      <c r="B87">
        <f t="shared" si="4"/>
        <v>3469.3877551020369</v>
      </c>
      <c r="C87">
        <f t="shared" si="5"/>
        <v>520.4081632653083</v>
      </c>
    </row>
    <row r="88" spans="1:3" x14ac:dyDescent="0.25">
      <c r="A88">
        <f t="shared" si="3"/>
        <v>24.820891094711435</v>
      </c>
      <c r="B88">
        <f t="shared" si="4"/>
        <v>3510.2040816326489</v>
      </c>
      <c r="C88">
        <f t="shared" si="5"/>
        <v>491.42857142857383</v>
      </c>
    </row>
    <row r="89" spans="1:3" x14ac:dyDescent="0.25">
      <c r="A89">
        <f t="shared" si="3"/>
        <v>25.109506107440637</v>
      </c>
      <c r="B89">
        <f t="shared" si="4"/>
        <v>3551.0204081632614</v>
      </c>
      <c r="C89">
        <f t="shared" si="5"/>
        <v>461.63265306122685</v>
      </c>
    </row>
    <row r="90" spans="1:3" x14ac:dyDescent="0.25">
      <c r="A90">
        <f t="shared" si="3"/>
        <v>25.39812112016984</v>
      </c>
      <c r="B90">
        <f t="shared" si="4"/>
        <v>3591.8367346938735</v>
      </c>
      <c r="C90">
        <f t="shared" si="5"/>
        <v>431.0204081632678</v>
      </c>
    </row>
    <row r="91" spans="1:3" x14ac:dyDescent="0.25">
      <c r="A91">
        <f t="shared" si="3"/>
        <v>25.686736132899043</v>
      </c>
      <c r="B91">
        <f t="shared" si="4"/>
        <v>3632.6530612244856</v>
      </c>
      <c r="C91">
        <f t="shared" si="5"/>
        <v>399.59183673469624</v>
      </c>
    </row>
    <row r="92" spans="1:3" x14ac:dyDescent="0.25">
      <c r="A92">
        <f t="shared" si="3"/>
        <v>25.975351145628245</v>
      </c>
      <c r="B92">
        <f t="shared" si="4"/>
        <v>3673.4693877550976</v>
      </c>
      <c r="C92">
        <f t="shared" si="5"/>
        <v>367.34693877551263</v>
      </c>
    </row>
    <row r="93" spans="1:3" x14ac:dyDescent="0.25">
      <c r="A93">
        <f t="shared" si="3"/>
        <v>26.263966158357448</v>
      </c>
      <c r="B93">
        <f t="shared" si="4"/>
        <v>3714.2857142857101</v>
      </c>
      <c r="C93">
        <f t="shared" si="5"/>
        <v>334.2857142857174</v>
      </c>
    </row>
    <row r="94" spans="1:3" x14ac:dyDescent="0.25">
      <c r="A94">
        <f t="shared" si="3"/>
        <v>26.552581171086651</v>
      </c>
      <c r="B94">
        <f t="shared" si="4"/>
        <v>3755.1020408163222</v>
      </c>
      <c r="C94">
        <f t="shared" si="5"/>
        <v>300.40816326530876</v>
      </c>
    </row>
    <row r="95" spans="1:3" x14ac:dyDescent="0.25">
      <c r="A95">
        <f t="shared" si="3"/>
        <v>26.841196183815853</v>
      </c>
      <c r="B95">
        <f t="shared" si="4"/>
        <v>3795.9183673469342</v>
      </c>
      <c r="C95">
        <f t="shared" si="5"/>
        <v>265.71428571428942</v>
      </c>
    </row>
    <row r="96" spans="1:3" x14ac:dyDescent="0.25">
      <c r="A96">
        <f t="shared" si="3"/>
        <v>27.129811196545056</v>
      </c>
      <c r="B96">
        <f t="shared" si="4"/>
        <v>3836.7346938775463</v>
      </c>
      <c r="C96">
        <f t="shared" si="5"/>
        <v>230.2040816326562</v>
      </c>
    </row>
    <row r="97" spans="1:3" x14ac:dyDescent="0.25">
      <c r="A97">
        <f t="shared" si="3"/>
        <v>27.418426209274259</v>
      </c>
      <c r="B97">
        <f t="shared" si="4"/>
        <v>3877.5510204081588</v>
      </c>
      <c r="C97">
        <f t="shared" si="5"/>
        <v>193.87755102041183</v>
      </c>
    </row>
    <row r="98" spans="1:3" x14ac:dyDescent="0.25">
      <c r="A98">
        <f t="shared" si="3"/>
        <v>27.707041222003461</v>
      </c>
      <c r="B98">
        <f t="shared" si="4"/>
        <v>3918.3673469387709</v>
      </c>
      <c r="C98">
        <f t="shared" si="5"/>
        <v>156.73469387755449</v>
      </c>
    </row>
    <row r="99" spans="1:3" x14ac:dyDescent="0.25">
      <c r="A99">
        <f t="shared" si="3"/>
        <v>27.995656234732664</v>
      </c>
      <c r="B99">
        <f t="shared" si="4"/>
        <v>3959.1836734693829</v>
      </c>
      <c r="C99">
        <f t="shared" si="5"/>
        <v>118.77551020408509</v>
      </c>
    </row>
    <row r="100" spans="1:3" x14ac:dyDescent="0.25">
      <c r="A100">
        <f t="shared" si="3"/>
        <v>28.284271247461866</v>
      </c>
      <c r="B100">
        <f t="shared" si="4"/>
        <v>3999.9999999999955</v>
      </c>
      <c r="C100">
        <f t="shared" si="5"/>
        <v>80.000000000003638</v>
      </c>
    </row>
    <row r="101" spans="1:3" x14ac:dyDescent="0.25">
      <c r="A101">
        <f t="shared" si="3"/>
        <v>28.572886260191069</v>
      </c>
      <c r="B101">
        <f t="shared" si="4"/>
        <v>4040.8163265306075</v>
      </c>
      <c r="C101">
        <f t="shared" si="5"/>
        <v>40.408163265309668</v>
      </c>
    </row>
    <row r="102" spans="1:3" x14ac:dyDescent="0.25">
      <c r="A102">
        <f t="shared" si="3"/>
        <v>28.861501272920272</v>
      </c>
      <c r="B102">
        <f t="shared" si="4"/>
        <v>4081.6326530612196</v>
      </c>
      <c r="C102">
        <f t="shared" si="5"/>
        <v>0</v>
      </c>
    </row>
    <row r="103" spans="1:3" x14ac:dyDescent="0.25">
      <c r="A103">
        <f t="shared" si="3"/>
        <v>29.150116285649474</v>
      </c>
      <c r="B103">
        <f t="shared" si="4"/>
        <v>4122.4489795918316</v>
      </c>
      <c r="C103">
        <f t="shared" si="5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5685-9545-451E-B5C7-242B1DF61715}">
  <dimension ref="A1:M103"/>
  <sheetViews>
    <sheetView workbookViewId="0">
      <selection activeCell="V392" sqref="V392"/>
    </sheetView>
  </sheetViews>
  <sheetFormatPr defaultRowHeight="15" x14ac:dyDescent="0.25"/>
  <cols>
    <col min="1" max="1" width="12.140625" customWidth="1"/>
    <col min="2" max="2" width="12.7109375" customWidth="1"/>
    <col min="3" max="3" width="13" customWidth="1"/>
    <col min="4" max="4" width="10.85546875" customWidth="1"/>
    <col min="10" max="10" width="12.85546875" customWidth="1"/>
    <col min="11" max="11" width="12.5703125" customWidth="1"/>
    <col min="12" max="12" width="13.42578125" customWidth="1"/>
    <col min="13" max="13" width="12.85546875" customWidth="1"/>
  </cols>
  <sheetData>
    <row r="1" spans="1:13" ht="16.5" thickTop="1" thickBot="1" x14ac:dyDescent="0.3">
      <c r="A1" s="1" t="s">
        <v>8</v>
      </c>
      <c r="B1" s="1" t="s">
        <v>7</v>
      </c>
      <c r="C1" s="1" t="s">
        <v>5</v>
      </c>
      <c r="D1" s="1" t="s">
        <v>6</v>
      </c>
      <c r="E1" s="1"/>
      <c r="F1" s="1" t="s">
        <v>1</v>
      </c>
      <c r="G1" s="1" t="s">
        <v>10</v>
      </c>
      <c r="H1" s="1" t="s">
        <v>2</v>
      </c>
      <c r="I1" s="1" t="s">
        <v>0</v>
      </c>
      <c r="J1" s="1" t="s">
        <v>9</v>
      </c>
      <c r="K1" s="1" t="s">
        <v>4</v>
      </c>
      <c r="L1" s="1" t="s">
        <v>11</v>
      </c>
      <c r="M1" s="1" t="s">
        <v>3</v>
      </c>
    </row>
    <row r="2" spans="1:13" ht="13.5" customHeight="1" thickTop="1" x14ac:dyDescent="0.25">
      <c r="A2">
        <v>0</v>
      </c>
      <c r="B2">
        <f>A2*$J$2</f>
        <v>0</v>
      </c>
      <c r="C2">
        <f>IF($K$2*A2-$H$2*A2*A2/2&gt;0.001,$K$2*A2-$H$2*A2*A2/2,0)</f>
        <v>0</v>
      </c>
      <c r="D2">
        <f>L2/100</f>
        <v>0.20408163265306117</v>
      </c>
      <c r="F2">
        <v>30</v>
      </c>
      <c r="G2">
        <f>F2*PI()/180</f>
        <v>0.52359877559829882</v>
      </c>
      <c r="H2">
        <v>-9.8000000000000007</v>
      </c>
      <c r="I2">
        <v>200</v>
      </c>
      <c r="J2">
        <f>I2*COS(G2)</f>
        <v>173.20508075688775</v>
      </c>
      <c r="K2">
        <f>I2*SIN(G2)</f>
        <v>99.999999999999986</v>
      </c>
      <c r="L2">
        <f>-K2/H2*2</f>
        <v>20.408163265306118</v>
      </c>
      <c r="M2">
        <f>B102</f>
        <v>3534.7975664670939</v>
      </c>
    </row>
    <row r="3" spans="1:13" x14ac:dyDescent="0.25">
      <c r="A3">
        <f>A2+$D$2</f>
        <v>0.20408163265306117</v>
      </c>
      <c r="B3">
        <f>A3*$J$2</f>
        <v>35.347975664670962</v>
      </c>
      <c r="C3">
        <f>IF(K$2*A3+H$2*A3*A3/2&gt;0.001,K$2*A3+H$2*A3*A3/2,0)</f>
        <v>20.204081632653054</v>
      </c>
    </row>
    <row r="4" spans="1:13" x14ac:dyDescent="0.25">
      <c r="A4">
        <f t="shared" ref="A4:A67" si="0">A3+$D$2</f>
        <v>0.40816326530612235</v>
      </c>
      <c r="B4">
        <f t="shared" ref="B4:B67" si="1">A4*$J$2</f>
        <v>70.695951329341923</v>
      </c>
      <c r="C4">
        <f t="shared" ref="C4:C67" si="2">IF(K$2*A4+H$2*A4*A4/2&gt;0.001,K$2*A4+H$2*A4*A4/2,0)</f>
        <v>39.999999999999986</v>
      </c>
    </row>
    <row r="5" spans="1:13" x14ac:dyDescent="0.25">
      <c r="A5">
        <f t="shared" si="0"/>
        <v>0.61224489795918347</v>
      </c>
      <c r="B5">
        <f t="shared" si="1"/>
        <v>106.04392699401288</v>
      </c>
      <c r="C5">
        <f t="shared" si="2"/>
        <v>59.387755102040785</v>
      </c>
    </row>
    <row r="6" spans="1:13" x14ac:dyDescent="0.25">
      <c r="A6">
        <f t="shared" si="0"/>
        <v>0.81632653061224469</v>
      </c>
      <c r="B6">
        <f t="shared" si="1"/>
        <v>141.39190265868385</v>
      </c>
      <c r="C6">
        <f t="shared" si="2"/>
        <v>78.367346938775484</v>
      </c>
    </row>
    <row r="7" spans="1:13" x14ac:dyDescent="0.25">
      <c r="A7">
        <f t="shared" si="0"/>
        <v>1.0204081632653059</v>
      </c>
      <c r="B7">
        <f t="shared" si="1"/>
        <v>176.73987832335482</v>
      </c>
      <c r="C7">
        <f t="shared" si="2"/>
        <v>96.938775510204039</v>
      </c>
    </row>
    <row r="8" spans="1:13" x14ac:dyDescent="0.25">
      <c r="A8">
        <f t="shared" si="0"/>
        <v>1.2244897959183672</v>
      </c>
      <c r="B8">
        <f t="shared" si="1"/>
        <v>212.08785398802578</v>
      </c>
      <c r="C8">
        <f t="shared" si="2"/>
        <v>115.10204081632651</v>
      </c>
    </row>
    <row r="9" spans="1:13" x14ac:dyDescent="0.25">
      <c r="A9">
        <f t="shared" si="0"/>
        <v>1.4285714285714284</v>
      </c>
      <c r="B9">
        <f t="shared" si="1"/>
        <v>247.43582965269675</v>
      </c>
      <c r="C9">
        <f t="shared" si="2"/>
        <v>132.8571428571428</v>
      </c>
    </row>
    <row r="10" spans="1:13" x14ac:dyDescent="0.25">
      <c r="A10">
        <f t="shared" si="0"/>
        <v>1.6326530612244896</v>
      </c>
      <c r="B10">
        <f t="shared" si="1"/>
        <v>282.78380531736775</v>
      </c>
      <c r="C10">
        <f t="shared" si="2"/>
        <v>150.20408163265304</v>
      </c>
    </row>
    <row r="11" spans="1:13" x14ac:dyDescent="0.25">
      <c r="A11">
        <f t="shared" si="0"/>
        <v>1.8367346938775508</v>
      </c>
      <c r="B11">
        <f t="shared" si="1"/>
        <v>318.13178098203872</v>
      </c>
      <c r="C11">
        <f t="shared" si="2"/>
        <v>167.14285714285711</v>
      </c>
    </row>
    <row r="12" spans="1:13" x14ac:dyDescent="0.25">
      <c r="A12">
        <f t="shared" si="0"/>
        <v>2.0408163265306118</v>
      </c>
      <c r="B12">
        <f t="shared" si="1"/>
        <v>353.47975664670963</v>
      </c>
      <c r="C12">
        <f t="shared" si="2"/>
        <v>183.67346938775503</v>
      </c>
    </row>
    <row r="13" spans="1:13" x14ac:dyDescent="0.25">
      <c r="A13">
        <f t="shared" si="0"/>
        <v>2.2448979591836729</v>
      </c>
      <c r="B13">
        <f t="shared" si="1"/>
        <v>388.82773231138054</v>
      </c>
      <c r="C13">
        <f t="shared" si="2"/>
        <v>199.79591836734687</v>
      </c>
    </row>
    <row r="14" spans="1:13" x14ac:dyDescent="0.25">
      <c r="A14">
        <f t="shared" si="0"/>
        <v>2.4489795918367339</v>
      </c>
      <c r="B14">
        <f t="shared" si="1"/>
        <v>424.17570797605151</v>
      </c>
      <c r="C14">
        <f t="shared" si="2"/>
        <v>215.51020408163254</v>
      </c>
    </row>
    <row r="15" spans="1:13" x14ac:dyDescent="0.25">
      <c r="A15">
        <f t="shared" si="0"/>
        <v>2.6530612244897949</v>
      </c>
      <c r="B15">
        <f t="shared" si="1"/>
        <v>459.52368364072242</v>
      </c>
      <c r="C15">
        <f t="shared" si="2"/>
        <v>230.81632653061214</v>
      </c>
    </row>
    <row r="16" spans="1:13" x14ac:dyDescent="0.25">
      <c r="A16">
        <f t="shared" si="0"/>
        <v>2.8571428571428559</v>
      </c>
      <c r="B16">
        <f t="shared" si="1"/>
        <v>494.87165930539334</v>
      </c>
      <c r="C16">
        <f t="shared" si="2"/>
        <v>245.71428571428558</v>
      </c>
    </row>
    <row r="17" spans="1:3" x14ac:dyDescent="0.25">
      <c r="A17">
        <f t="shared" si="0"/>
        <v>3.0612244897959169</v>
      </c>
      <c r="B17">
        <f t="shared" si="1"/>
        <v>530.21963497006425</v>
      </c>
      <c r="C17">
        <f t="shared" si="2"/>
        <v>260.2040816326529</v>
      </c>
    </row>
    <row r="18" spans="1:3" x14ac:dyDescent="0.25">
      <c r="A18">
        <f t="shared" si="0"/>
        <v>3.2653061224489779</v>
      </c>
      <c r="B18">
        <f t="shared" si="1"/>
        <v>565.56761063473527</v>
      </c>
      <c r="C18">
        <f t="shared" si="2"/>
        <v>274.28571428571411</v>
      </c>
    </row>
    <row r="19" spans="1:3" x14ac:dyDescent="0.25">
      <c r="A19">
        <f t="shared" si="0"/>
        <v>3.4693877551020389</v>
      </c>
      <c r="B19">
        <f t="shared" si="1"/>
        <v>600.91558629940619</v>
      </c>
      <c r="C19">
        <f t="shared" si="2"/>
        <v>287.95918367346923</v>
      </c>
    </row>
    <row r="20" spans="1:3" x14ac:dyDescent="0.25">
      <c r="A20">
        <f t="shared" si="0"/>
        <v>3.6734693877550999</v>
      </c>
      <c r="B20">
        <f t="shared" si="1"/>
        <v>636.2635619640771</v>
      </c>
      <c r="C20">
        <f t="shared" si="2"/>
        <v>301.2244897959182</v>
      </c>
    </row>
    <row r="21" spans="1:3" x14ac:dyDescent="0.25">
      <c r="A21">
        <f t="shared" si="0"/>
        <v>3.8775510204081609</v>
      </c>
      <c r="B21">
        <f t="shared" si="1"/>
        <v>671.61153762874801</v>
      </c>
      <c r="C21">
        <f t="shared" si="2"/>
        <v>314.08163265306104</v>
      </c>
    </row>
    <row r="22" spans="1:3" x14ac:dyDescent="0.25">
      <c r="A22">
        <f t="shared" si="0"/>
        <v>4.0816326530612219</v>
      </c>
      <c r="B22">
        <f t="shared" si="1"/>
        <v>706.95951329341892</v>
      </c>
      <c r="C22">
        <f t="shared" si="2"/>
        <v>326.53061224489772</v>
      </c>
    </row>
    <row r="23" spans="1:3" x14ac:dyDescent="0.25">
      <c r="A23">
        <f t="shared" si="0"/>
        <v>4.2857142857142829</v>
      </c>
      <c r="B23">
        <f t="shared" si="1"/>
        <v>742.30748895808983</v>
      </c>
      <c r="C23">
        <f t="shared" si="2"/>
        <v>338.57142857142833</v>
      </c>
    </row>
    <row r="24" spans="1:3" x14ac:dyDescent="0.25">
      <c r="A24">
        <f t="shared" si="0"/>
        <v>4.4897959183673439</v>
      </c>
      <c r="B24">
        <f t="shared" si="1"/>
        <v>777.65546462276086</v>
      </c>
      <c r="C24">
        <f t="shared" si="2"/>
        <v>350.20408163265284</v>
      </c>
    </row>
    <row r="25" spans="1:3" x14ac:dyDescent="0.25">
      <c r="A25">
        <f t="shared" si="0"/>
        <v>4.6938775510204049</v>
      </c>
      <c r="B25">
        <f t="shared" si="1"/>
        <v>813.00344028743177</v>
      </c>
      <c r="C25">
        <f t="shared" si="2"/>
        <v>361.42857142857122</v>
      </c>
    </row>
    <row r="26" spans="1:3" x14ac:dyDescent="0.25">
      <c r="A26">
        <f t="shared" si="0"/>
        <v>4.8979591836734659</v>
      </c>
      <c r="B26">
        <f t="shared" si="1"/>
        <v>848.35141595210268</v>
      </c>
      <c r="C26">
        <f t="shared" si="2"/>
        <v>372.24489795918339</v>
      </c>
    </row>
    <row r="27" spans="1:3" x14ac:dyDescent="0.25">
      <c r="A27">
        <f t="shared" si="0"/>
        <v>5.102040816326527</v>
      </c>
      <c r="B27">
        <f t="shared" si="1"/>
        <v>883.6993916167736</v>
      </c>
      <c r="C27">
        <f t="shared" si="2"/>
        <v>382.65306122448953</v>
      </c>
    </row>
    <row r="28" spans="1:3" x14ac:dyDescent="0.25">
      <c r="A28">
        <f t="shared" si="0"/>
        <v>5.306122448979588</v>
      </c>
      <c r="B28">
        <f t="shared" si="1"/>
        <v>919.04736728144451</v>
      </c>
      <c r="C28">
        <f t="shared" si="2"/>
        <v>392.65306122448953</v>
      </c>
    </row>
    <row r="29" spans="1:3" x14ac:dyDescent="0.25">
      <c r="A29">
        <f t="shared" si="0"/>
        <v>5.510204081632649</v>
      </c>
      <c r="B29">
        <f t="shared" si="1"/>
        <v>954.39534294611553</v>
      </c>
      <c r="C29">
        <f t="shared" si="2"/>
        <v>402.24489795918339</v>
      </c>
    </row>
    <row r="30" spans="1:3" x14ac:dyDescent="0.25">
      <c r="A30">
        <f t="shared" si="0"/>
        <v>5.71428571428571</v>
      </c>
      <c r="B30">
        <f t="shared" si="1"/>
        <v>989.74331861078645</v>
      </c>
      <c r="C30">
        <f t="shared" si="2"/>
        <v>411.4285714285711</v>
      </c>
    </row>
    <row r="31" spans="1:3" x14ac:dyDescent="0.25">
      <c r="A31">
        <f t="shared" si="0"/>
        <v>5.918367346938771</v>
      </c>
      <c r="B31">
        <f t="shared" si="1"/>
        <v>1025.0912942754574</v>
      </c>
      <c r="C31">
        <f t="shared" si="2"/>
        <v>420.20408163265279</v>
      </c>
    </row>
    <row r="32" spans="1:3" x14ac:dyDescent="0.25">
      <c r="A32">
        <f t="shared" si="0"/>
        <v>6.122448979591832</v>
      </c>
      <c r="B32">
        <f t="shared" si="1"/>
        <v>1060.4392699401283</v>
      </c>
      <c r="C32">
        <f t="shared" si="2"/>
        <v>428.57142857142833</v>
      </c>
    </row>
    <row r="33" spans="1:3" x14ac:dyDescent="0.25">
      <c r="A33">
        <f t="shared" si="0"/>
        <v>6.326530612244893</v>
      </c>
      <c r="B33">
        <f t="shared" si="1"/>
        <v>1095.7872456047992</v>
      </c>
      <c r="C33">
        <f t="shared" si="2"/>
        <v>436.53061224489761</v>
      </c>
    </row>
    <row r="34" spans="1:3" x14ac:dyDescent="0.25">
      <c r="A34">
        <f t="shared" si="0"/>
        <v>6.530612244897954</v>
      </c>
      <c r="B34">
        <f t="shared" si="1"/>
        <v>1131.1352212694701</v>
      </c>
      <c r="C34">
        <f t="shared" si="2"/>
        <v>444.08163265306098</v>
      </c>
    </row>
    <row r="35" spans="1:3" x14ac:dyDescent="0.25">
      <c r="A35">
        <f t="shared" si="0"/>
        <v>6.734693877551015</v>
      </c>
      <c r="B35">
        <f t="shared" si="1"/>
        <v>1166.483196934141</v>
      </c>
      <c r="C35">
        <f t="shared" si="2"/>
        <v>451.22448979591798</v>
      </c>
    </row>
    <row r="36" spans="1:3" x14ac:dyDescent="0.25">
      <c r="A36">
        <f t="shared" si="0"/>
        <v>6.938775510204076</v>
      </c>
      <c r="B36">
        <f t="shared" si="1"/>
        <v>1201.8311725988119</v>
      </c>
      <c r="C36">
        <f t="shared" si="2"/>
        <v>457.95918367346911</v>
      </c>
    </row>
    <row r="37" spans="1:3" x14ac:dyDescent="0.25">
      <c r="A37">
        <f t="shared" si="0"/>
        <v>7.142857142857137</v>
      </c>
      <c r="B37">
        <f t="shared" si="1"/>
        <v>1237.1791482634828</v>
      </c>
      <c r="C37">
        <f t="shared" si="2"/>
        <v>464.28571428571405</v>
      </c>
    </row>
    <row r="38" spans="1:3" x14ac:dyDescent="0.25">
      <c r="A38">
        <f t="shared" si="0"/>
        <v>7.346938775510198</v>
      </c>
      <c r="B38">
        <f t="shared" si="1"/>
        <v>1272.527123928154</v>
      </c>
      <c r="C38">
        <f t="shared" si="2"/>
        <v>470.20408163265279</v>
      </c>
    </row>
    <row r="39" spans="1:3" x14ac:dyDescent="0.25">
      <c r="A39">
        <f t="shared" si="0"/>
        <v>7.551020408163259</v>
      </c>
      <c r="B39">
        <f t="shared" si="1"/>
        <v>1307.8750995928249</v>
      </c>
      <c r="C39">
        <f t="shared" si="2"/>
        <v>475.71428571428544</v>
      </c>
    </row>
    <row r="40" spans="1:3" x14ac:dyDescent="0.25">
      <c r="A40">
        <f t="shared" si="0"/>
        <v>7.75510204081632</v>
      </c>
      <c r="B40">
        <f t="shared" si="1"/>
        <v>1343.2230752574958</v>
      </c>
      <c r="C40">
        <f t="shared" si="2"/>
        <v>480.81632653061189</v>
      </c>
    </row>
    <row r="41" spans="1:3" x14ac:dyDescent="0.25">
      <c r="A41">
        <f t="shared" si="0"/>
        <v>7.959183673469381</v>
      </c>
      <c r="B41">
        <f t="shared" si="1"/>
        <v>1378.5710509221667</v>
      </c>
      <c r="C41">
        <f t="shared" si="2"/>
        <v>485.51020408163237</v>
      </c>
    </row>
    <row r="42" spans="1:3" x14ac:dyDescent="0.25">
      <c r="A42">
        <f t="shared" si="0"/>
        <v>8.1632653061224421</v>
      </c>
      <c r="B42">
        <f t="shared" si="1"/>
        <v>1413.9190265868376</v>
      </c>
      <c r="C42">
        <f t="shared" si="2"/>
        <v>489.7959183673467</v>
      </c>
    </row>
    <row r="43" spans="1:3" x14ac:dyDescent="0.25">
      <c r="A43">
        <f t="shared" si="0"/>
        <v>8.3673469387755031</v>
      </c>
      <c r="B43">
        <f t="shared" si="1"/>
        <v>1449.2670022515085</v>
      </c>
      <c r="C43">
        <f t="shared" si="2"/>
        <v>493.67346938775484</v>
      </c>
    </row>
    <row r="44" spans="1:3" x14ac:dyDescent="0.25">
      <c r="A44">
        <f t="shared" si="0"/>
        <v>8.5714285714285641</v>
      </c>
      <c r="B44">
        <f t="shared" si="1"/>
        <v>1484.6149779161794</v>
      </c>
      <c r="C44">
        <f t="shared" si="2"/>
        <v>497.14285714285694</v>
      </c>
    </row>
    <row r="45" spans="1:3" x14ac:dyDescent="0.25">
      <c r="A45">
        <f t="shared" si="0"/>
        <v>8.7755102040816251</v>
      </c>
      <c r="B45">
        <f t="shared" si="1"/>
        <v>1519.9629535808504</v>
      </c>
      <c r="C45">
        <f t="shared" si="2"/>
        <v>500.20408163265279</v>
      </c>
    </row>
    <row r="46" spans="1:3" x14ac:dyDescent="0.25">
      <c r="A46">
        <f t="shared" si="0"/>
        <v>8.9795918367346861</v>
      </c>
      <c r="B46">
        <f t="shared" si="1"/>
        <v>1555.3109292455213</v>
      </c>
      <c r="C46">
        <f t="shared" si="2"/>
        <v>502.85714285714261</v>
      </c>
    </row>
    <row r="47" spans="1:3" x14ac:dyDescent="0.25">
      <c r="A47">
        <f t="shared" si="0"/>
        <v>9.1836734693877471</v>
      </c>
      <c r="B47">
        <f t="shared" si="1"/>
        <v>1590.6589049101922</v>
      </c>
      <c r="C47">
        <f t="shared" si="2"/>
        <v>505.10204081632634</v>
      </c>
    </row>
    <row r="48" spans="1:3" x14ac:dyDescent="0.25">
      <c r="A48">
        <f t="shared" si="0"/>
        <v>9.3877551020408081</v>
      </c>
      <c r="B48">
        <f t="shared" si="1"/>
        <v>1626.0068805748631</v>
      </c>
      <c r="C48">
        <f t="shared" si="2"/>
        <v>506.93877551020381</v>
      </c>
    </row>
    <row r="49" spans="1:3" x14ac:dyDescent="0.25">
      <c r="A49">
        <f t="shared" si="0"/>
        <v>9.5918367346938691</v>
      </c>
      <c r="B49">
        <f t="shared" si="1"/>
        <v>1661.3548562395342</v>
      </c>
      <c r="C49">
        <f t="shared" si="2"/>
        <v>508.36734693877531</v>
      </c>
    </row>
    <row r="50" spans="1:3" x14ac:dyDescent="0.25">
      <c r="A50">
        <f t="shared" si="0"/>
        <v>9.7959183673469301</v>
      </c>
      <c r="B50">
        <f t="shared" si="1"/>
        <v>1696.7028319042051</v>
      </c>
      <c r="C50">
        <f t="shared" si="2"/>
        <v>509.38775510204056</v>
      </c>
    </row>
    <row r="51" spans="1:3" x14ac:dyDescent="0.25">
      <c r="A51">
        <f t="shared" si="0"/>
        <v>9.9999999999999911</v>
      </c>
      <c r="B51">
        <f t="shared" si="1"/>
        <v>1732.0508075688761</v>
      </c>
      <c r="C51">
        <f t="shared" si="2"/>
        <v>509.99999999999983</v>
      </c>
    </row>
    <row r="52" spans="1:3" x14ac:dyDescent="0.25">
      <c r="A52">
        <f t="shared" si="0"/>
        <v>10.204081632653052</v>
      </c>
      <c r="B52">
        <f t="shared" si="1"/>
        <v>1767.398783233547</v>
      </c>
      <c r="C52">
        <f t="shared" si="2"/>
        <v>510.20408163265296</v>
      </c>
    </row>
    <row r="53" spans="1:3" x14ac:dyDescent="0.25">
      <c r="A53">
        <f t="shared" si="0"/>
        <v>10.408163265306113</v>
      </c>
      <c r="B53">
        <f t="shared" si="1"/>
        <v>1802.7467588982179</v>
      </c>
      <c r="C53">
        <f t="shared" si="2"/>
        <v>509.99999999999977</v>
      </c>
    </row>
    <row r="54" spans="1:3" x14ac:dyDescent="0.25">
      <c r="A54">
        <f t="shared" si="0"/>
        <v>10.612244897959174</v>
      </c>
      <c r="B54">
        <f t="shared" si="1"/>
        <v>1838.0947345628888</v>
      </c>
      <c r="C54">
        <f t="shared" si="2"/>
        <v>509.38775510204061</v>
      </c>
    </row>
    <row r="55" spans="1:3" x14ac:dyDescent="0.25">
      <c r="A55">
        <f t="shared" si="0"/>
        <v>10.816326530612235</v>
      </c>
      <c r="B55">
        <f t="shared" si="1"/>
        <v>1873.4427102275597</v>
      </c>
      <c r="C55">
        <f t="shared" si="2"/>
        <v>508.36734693877543</v>
      </c>
    </row>
    <row r="56" spans="1:3" x14ac:dyDescent="0.25">
      <c r="A56">
        <f t="shared" si="0"/>
        <v>11.020408163265296</v>
      </c>
      <c r="B56">
        <f t="shared" si="1"/>
        <v>1908.7906858922306</v>
      </c>
      <c r="C56">
        <f t="shared" si="2"/>
        <v>506.93877551020398</v>
      </c>
    </row>
    <row r="57" spans="1:3" x14ac:dyDescent="0.25">
      <c r="A57">
        <f t="shared" si="0"/>
        <v>11.224489795918357</v>
      </c>
      <c r="B57">
        <f t="shared" si="1"/>
        <v>1944.1386615569015</v>
      </c>
      <c r="C57">
        <f t="shared" si="2"/>
        <v>505.10204081632628</v>
      </c>
    </row>
    <row r="58" spans="1:3" x14ac:dyDescent="0.25">
      <c r="A58">
        <f t="shared" si="0"/>
        <v>11.428571428571418</v>
      </c>
      <c r="B58">
        <f t="shared" si="1"/>
        <v>1979.4866372215724</v>
      </c>
      <c r="C58">
        <f t="shared" si="2"/>
        <v>502.85714285714289</v>
      </c>
    </row>
    <row r="59" spans="1:3" x14ac:dyDescent="0.25">
      <c r="A59">
        <f t="shared" si="0"/>
        <v>11.632653061224479</v>
      </c>
      <c r="B59">
        <f t="shared" si="1"/>
        <v>2014.8346128862433</v>
      </c>
      <c r="C59">
        <f t="shared" si="2"/>
        <v>500.20408163265301</v>
      </c>
    </row>
    <row r="60" spans="1:3" x14ac:dyDescent="0.25">
      <c r="A60">
        <f t="shared" si="0"/>
        <v>11.83673469387754</v>
      </c>
      <c r="B60">
        <f t="shared" si="1"/>
        <v>2050.1825885509143</v>
      </c>
      <c r="C60">
        <f t="shared" si="2"/>
        <v>497.14285714285711</v>
      </c>
    </row>
    <row r="61" spans="1:3" x14ac:dyDescent="0.25">
      <c r="A61">
        <f t="shared" si="0"/>
        <v>12.040816326530601</v>
      </c>
      <c r="B61">
        <f t="shared" si="1"/>
        <v>2085.5305642155854</v>
      </c>
      <c r="C61">
        <f t="shared" si="2"/>
        <v>493.67346938775495</v>
      </c>
    </row>
    <row r="62" spans="1:3" x14ac:dyDescent="0.25">
      <c r="A62">
        <f t="shared" si="0"/>
        <v>12.244897959183662</v>
      </c>
      <c r="B62">
        <f t="shared" si="1"/>
        <v>2120.8785398802561</v>
      </c>
      <c r="C62">
        <f t="shared" si="2"/>
        <v>489.79591836734699</v>
      </c>
    </row>
    <row r="63" spans="1:3" x14ac:dyDescent="0.25">
      <c r="A63">
        <f t="shared" si="0"/>
        <v>12.448979591836723</v>
      </c>
      <c r="B63">
        <f t="shared" si="1"/>
        <v>2156.2265155449272</v>
      </c>
      <c r="C63">
        <f t="shared" si="2"/>
        <v>485.51020408163265</v>
      </c>
    </row>
    <row r="64" spans="1:3" x14ac:dyDescent="0.25">
      <c r="A64">
        <f t="shared" si="0"/>
        <v>12.653061224489784</v>
      </c>
      <c r="B64">
        <f t="shared" si="1"/>
        <v>2191.5744912095979</v>
      </c>
      <c r="C64">
        <f t="shared" si="2"/>
        <v>480.81632653061217</v>
      </c>
    </row>
    <row r="65" spans="1:3" x14ac:dyDescent="0.25">
      <c r="A65">
        <f t="shared" si="0"/>
        <v>12.857142857142845</v>
      </c>
      <c r="B65">
        <f t="shared" si="1"/>
        <v>2226.922466874269</v>
      </c>
      <c r="C65">
        <f t="shared" si="2"/>
        <v>475.71428571428589</v>
      </c>
    </row>
    <row r="66" spans="1:3" x14ac:dyDescent="0.25">
      <c r="A66">
        <f t="shared" si="0"/>
        <v>13.061224489795906</v>
      </c>
      <c r="B66">
        <f t="shared" si="1"/>
        <v>2262.2704425389402</v>
      </c>
      <c r="C66">
        <f t="shared" si="2"/>
        <v>470.20408163265324</v>
      </c>
    </row>
    <row r="67" spans="1:3" x14ac:dyDescent="0.25">
      <c r="A67">
        <f t="shared" si="0"/>
        <v>13.265306122448967</v>
      </c>
      <c r="B67">
        <f t="shared" si="1"/>
        <v>2297.6184182036109</v>
      </c>
      <c r="C67">
        <f t="shared" si="2"/>
        <v>464.28571428571433</v>
      </c>
    </row>
    <row r="68" spans="1:3" x14ac:dyDescent="0.25">
      <c r="A68">
        <f t="shared" ref="A68:A131" si="3">A67+$D$2</f>
        <v>13.469387755102028</v>
      </c>
      <c r="B68">
        <f t="shared" ref="B68:B103" si="4">A68*$J$2</f>
        <v>2332.966393868282</v>
      </c>
      <c r="C68">
        <f t="shared" ref="C68:C103" si="5">IF(K$2*A68+H$2*A68*A68/2&gt;0.001,K$2*A68+H$2*A68*A68/2,0)</f>
        <v>457.95918367346962</v>
      </c>
    </row>
    <row r="69" spans="1:3" x14ac:dyDescent="0.25">
      <c r="A69">
        <f t="shared" si="3"/>
        <v>13.673469387755089</v>
      </c>
      <c r="B69">
        <f t="shared" si="4"/>
        <v>2368.3143695329527</v>
      </c>
      <c r="C69">
        <f t="shared" si="5"/>
        <v>451.22448979591854</v>
      </c>
    </row>
    <row r="70" spans="1:3" x14ac:dyDescent="0.25">
      <c r="A70">
        <f t="shared" si="3"/>
        <v>13.87755102040815</v>
      </c>
      <c r="B70">
        <f t="shared" si="4"/>
        <v>2403.6623451976238</v>
      </c>
      <c r="C70">
        <f t="shared" si="5"/>
        <v>444.08163265306132</v>
      </c>
    </row>
    <row r="71" spans="1:3" x14ac:dyDescent="0.25">
      <c r="A71">
        <f t="shared" si="3"/>
        <v>14.081632653061211</v>
      </c>
      <c r="B71">
        <f t="shared" si="4"/>
        <v>2439.0103208622945</v>
      </c>
      <c r="C71">
        <f t="shared" si="5"/>
        <v>436.53061224489807</v>
      </c>
    </row>
    <row r="72" spans="1:3" x14ac:dyDescent="0.25">
      <c r="A72">
        <f t="shared" si="3"/>
        <v>14.285714285714272</v>
      </c>
      <c r="B72">
        <f t="shared" si="4"/>
        <v>2474.3582965269657</v>
      </c>
      <c r="C72">
        <f t="shared" si="5"/>
        <v>428.57142857142878</v>
      </c>
    </row>
    <row r="73" spans="1:3" x14ac:dyDescent="0.25">
      <c r="A73">
        <f t="shared" si="3"/>
        <v>14.489795918367333</v>
      </c>
      <c r="B73">
        <f t="shared" si="4"/>
        <v>2509.7062721916363</v>
      </c>
      <c r="C73">
        <f t="shared" si="5"/>
        <v>420.20408163265324</v>
      </c>
    </row>
    <row r="74" spans="1:3" x14ac:dyDescent="0.25">
      <c r="A74">
        <f t="shared" si="3"/>
        <v>14.693877551020394</v>
      </c>
      <c r="B74">
        <f t="shared" si="4"/>
        <v>2545.0542478563075</v>
      </c>
      <c r="C74">
        <f t="shared" si="5"/>
        <v>411.42857142857156</v>
      </c>
    </row>
    <row r="75" spans="1:3" x14ac:dyDescent="0.25">
      <c r="A75">
        <f t="shared" si="3"/>
        <v>14.897959183673455</v>
      </c>
      <c r="B75">
        <f t="shared" si="4"/>
        <v>2580.4022235209782</v>
      </c>
      <c r="C75">
        <f t="shared" si="5"/>
        <v>402.24489795918407</v>
      </c>
    </row>
    <row r="76" spans="1:3" x14ac:dyDescent="0.25">
      <c r="A76">
        <f t="shared" si="3"/>
        <v>15.102040816326516</v>
      </c>
      <c r="B76">
        <f t="shared" si="4"/>
        <v>2615.7501991856493</v>
      </c>
      <c r="C76">
        <f t="shared" si="5"/>
        <v>392.65306122449033</v>
      </c>
    </row>
    <row r="77" spans="1:3" x14ac:dyDescent="0.25">
      <c r="A77">
        <f t="shared" si="3"/>
        <v>15.306122448979577</v>
      </c>
      <c r="B77">
        <f t="shared" si="4"/>
        <v>2651.0981748503204</v>
      </c>
      <c r="C77">
        <f t="shared" si="5"/>
        <v>382.65306122449033</v>
      </c>
    </row>
    <row r="78" spans="1:3" x14ac:dyDescent="0.25">
      <c r="A78">
        <f t="shared" si="3"/>
        <v>15.510204081632638</v>
      </c>
      <c r="B78">
        <f t="shared" si="4"/>
        <v>2686.4461505149911</v>
      </c>
      <c r="C78">
        <f t="shared" si="5"/>
        <v>372.2448979591843</v>
      </c>
    </row>
    <row r="79" spans="1:3" x14ac:dyDescent="0.25">
      <c r="A79">
        <f t="shared" si="3"/>
        <v>15.714285714285699</v>
      </c>
      <c r="B79">
        <f t="shared" si="4"/>
        <v>2721.7941261796623</v>
      </c>
      <c r="C79">
        <f t="shared" si="5"/>
        <v>361.42857142857201</v>
      </c>
    </row>
    <row r="80" spans="1:3" x14ac:dyDescent="0.25">
      <c r="A80">
        <f t="shared" si="3"/>
        <v>15.91836734693876</v>
      </c>
      <c r="B80">
        <f t="shared" si="4"/>
        <v>2757.142101844333</v>
      </c>
      <c r="C80">
        <f t="shared" si="5"/>
        <v>350.2040816326537</v>
      </c>
    </row>
    <row r="81" spans="1:3" x14ac:dyDescent="0.25">
      <c r="A81">
        <f t="shared" si="3"/>
        <v>16.122448979591823</v>
      </c>
      <c r="B81">
        <f t="shared" si="4"/>
        <v>2792.4900775090041</v>
      </c>
      <c r="C81">
        <f t="shared" si="5"/>
        <v>338.5714285714289</v>
      </c>
    </row>
    <row r="82" spans="1:3" x14ac:dyDescent="0.25">
      <c r="A82">
        <f t="shared" si="3"/>
        <v>16.326530612244884</v>
      </c>
      <c r="B82">
        <f t="shared" si="4"/>
        <v>2827.8380531736752</v>
      </c>
      <c r="C82">
        <f t="shared" si="5"/>
        <v>326.53061224489852</v>
      </c>
    </row>
    <row r="83" spans="1:3" x14ac:dyDescent="0.25">
      <c r="A83">
        <f t="shared" si="3"/>
        <v>16.530612244897945</v>
      </c>
      <c r="B83">
        <f t="shared" si="4"/>
        <v>2863.1860288383459</v>
      </c>
      <c r="C83">
        <f t="shared" si="5"/>
        <v>314.08163265306166</v>
      </c>
    </row>
    <row r="84" spans="1:3" x14ac:dyDescent="0.25">
      <c r="A84">
        <f t="shared" si="3"/>
        <v>16.734693877551006</v>
      </c>
      <c r="B84">
        <f t="shared" si="4"/>
        <v>2898.5340045030171</v>
      </c>
      <c r="C84">
        <f t="shared" si="5"/>
        <v>301.224489795919</v>
      </c>
    </row>
    <row r="85" spans="1:3" x14ac:dyDescent="0.25">
      <c r="A85">
        <f t="shared" si="3"/>
        <v>16.938775510204067</v>
      </c>
      <c r="B85">
        <f t="shared" si="4"/>
        <v>2933.8819801676882</v>
      </c>
      <c r="C85">
        <f t="shared" si="5"/>
        <v>287.95918367347008</v>
      </c>
    </row>
    <row r="86" spans="1:3" x14ac:dyDescent="0.25">
      <c r="A86">
        <f t="shared" si="3"/>
        <v>17.142857142857128</v>
      </c>
      <c r="B86">
        <f t="shared" si="4"/>
        <v>2969.2299558323589</v>
      </c>
      <c r="C86">
        <f t="shared" si="5"/>
        <v>274.28571428571513</v>
      </c>
    </row>
    <row r="87" spans="1:3" x14ac:dyDescent="0.25">
      <c r="A87">
        <f t="shared" si="3"/>
        <v>17.346938775510189</v>
      </c>
      <c r="B87">
        <f t="shared" si="4"/>
        <v>3004.57793149703</v>
      </c>
      <c r="C87">
        <f t="shared" si="5"/>
        <v>260.20408163265392</v>
      </c>
    </row>
    <row r="88" spans="1:3" x14ac:dyDescent="0.25">
      <c r="A88">
        <f t="shared" si="3"/>
        <v>17.55102040816325</v>
      </c>
      <c r="B88">
        <f t="shared" si="4"/>
        <v>3039.9259071617007</v>
      </c>
      <c r="C88">
        <f t="shared" si="5"/>
        <v>245.71428571428646</v>
      </c>
    </row>
    <row r="89" spans="1:3" x14ac:dyDescent="0.25">
      <c r="A89">
        <f t="shared" si="3"/>
        <v>17.755102040816311</v>
      </c>
      <c r="B89">
        <f t="shared" si="4"/>
        <v>3075.2738828263718</v>
      </c>
      <c r="C89">
        <f t="shared" si="5"/>
        <v>230.8163265306132</v>
      </c>
    </row>
    <row r="90" spans="1:3" x14ac:dyDescent="0.25">
      <c r="A90">
        <f t="shared" si="3"/>
        <v>17.959183673469372</v>
      </c>
      <c r="B90">
        <f t="shared" si="4"/>
        <v>3110.6218584910425</v>
      </c>
      <c r="C90">
        <f t="shared" si="5"/>
        <v>215.51020408163345</v>
      </c>
    </row>
    <row r="91" spans="1:3" x14ac:dyDescent="0.25">
      <c r="A91">
        <f t="shared" si="3"/>
        <v>18.163265306122433</v>
      </c>
      <c r="B91">
        <f t="shared" si="4"/>
        <v>3145.9698341557137</v>
      </c>
      <c r="C91">
        <f t="shared" si="5"/>
        <v>199.79591836734767</v>
      </c>
    </row>
    <row r="92" spans="1:3" x14ac:dyDescent="0.25">
      <c r="A92">
        <f t="shared" si="3"/>
        <v>18.367346938775494</v>
      </c>
      <c r="B92">
        <f t="shared" si="4"/>
        <v>3181.3178098203844</v>
      </c>
      <c r="C92">
        <f t="shared" si="5"/>
        <v>183.67346938775609</v>
      </c>
    </row>
    <row r="93" spans="1:3" x14ac:dyDescent="0.25">
      <c r="A93">
        <f t="shared" si="3"/>
        <v>18.571428571428555</v>
      </c>
      <c r="B93">
        <f t="shared" si="4"/>
        <v>3216.6657854850555</v>
      </c>
      <c r="C93">
        <f t="shared" si="5"/>
        <v>167.14285714285802</v>
      </c>
    </row>
    <row r="94" spans="1:3" x14ac:dyDescent="0.25">
      <c r="A94">
        <f t="shared" si="3"/>
        <v>18.775510204081616</v>
      </c>
      <c r="B94">
        <f t="shared" si="4"/>
        <v>3252.0137611497262</v>
      </c>
      <c r="C94">
        <f t="shared" si="5"/>
        <v>150.20408163265392</v>
      </c>
    </row>
    <row r="95" spans="1:3" x14ac:dyDescent="0.25">
      <c r="A95">
        <f t="shared" si="3"/>
        <v>18.979591836734677</v>
      </c>
      <c r="B95">
        <f t="shared" si="4"/>
        <v>3287.3617368143973</v>
      </c>
      <c r="C95">
        <f t="shared" si="5"/>
        <v>132.8571428571438</v>
      </c>
    </row>
    <row r="96" spans="1:3" x14ac:dyDescent="0.25">
      <c r="A96">
        <f t="shared" si="3"/>
        <v>19.183673469387738</v>
      </c>
      <c r="B96">
        <f t="shared" si="4"/>
        <v>3322.7097124790685</v>
      </c>
      <c r="C96">
        <f t="shared" si="5"/>
        <v>115.10204081632764</v>
      </c>
    </row>
    <row r="97" spans="1:3" x14ac:dyDescent="0.25">
      <c r="A97">
        <f t="shared" si="3"/>
        <v>19.387755102040799</v>
      </c>
      <c r="B97">
        <f t="shared" si="4"/>
        <v>3358.0576881437391</v>
      </c>
      <c r="C97">
        <f t="shared" si="5"/>
        <v>96.938775510205005</v>
      </c>
    </row>
    <row r="98" spans="1:3" x14ac:dyDescent="0.25">
      <c r="A98">
        <f t="shared" si="3"/>
        <v>19.59183673469386</v>
      </c>
      <c r="B98">
        <f t="shared" si="4"/>
        <v>3393.4056638084103</v>
      </c>
      <c r="C98">
        <f t="shared" si="5"/>
        <v>78.367346938776564</v>
      </c>
    </row>
    <row r="99" spans="1:3" x14ac:dyDescent="0.25">
      <c r="A99">
        <f t="shared" si="3"/>
        <v>19.795918367346921</v>
      </c>
      <c r="B99">
        <f t="shared" si="4"/>
        <v>3428.753639473081</v>
      </c>
      <c r="C99">
        <f t="shared" si="5"/>
        <v>59.38775510204232</v>
      </c>
    </row>
    <row r="100" spans="1:3" x14ac:dyDescent="0.25">
      <c r="A100">
        <f t="shared" si="3"/>
        <v>19.999999999999982</v>
      </c>
      <c r="B100">
        <f t="shared" si="4"/>
        <v>3464.1016151377521</v>
      </c>
      <c r="C100">
        <f t="shared" si="5"/>
        <v>40.000000000001364</v>
      </c>
    </row>
    <row r="101" spans="1:3" x14ac:dyDescent="0.25">
      <c r="A101">
        <f t="shared" si="3"/>
        <v>20.204081632653043</v>
      </c>
      <c r="B101">
        <f t="shared" si="4"/>
        <v>3499.4495908024228</v>
      </c>
      <c r="C101">
        <f t="shared" si="5"/>
        <v>20.204081632654379</v>
      </c>
    </row>
    <row r="102" spans="1:3" x14ac:dyDescent="0.25">
      <c r="A102">
        <f t="shared" si="3"/>
        <v>20.408163265306104</v>
      </c>
      <c r="B102">
        <f t="shared" si="4"/>
        <v>3534.7975664670939</v>
      </c>
      <c r="C102">
        <f t="shared" si="5"/>
        <v>0</v>
      </c>
    </row>
    <row r="103" spans="1:3" x14ac:dyDescent="0.25">
      <c r="A103">
        <f t="shared" si="3"/>
        <v>20.612244897959165</v>
      </c>
      <c r="B103">
        <f t="shared" si="4"/>
        <v>3570.1455421317646</v>
      </c>
      <c r="C103">
        <f t="shared" si="5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D3BB-C773-4A2F-9D85-26DB35982222}">
  <dimension ref="A1:M103"/>
  <sheetViews>
    <sheetView workbookViewId="0">
      <selection activeCell="V315" sqref="V315"/>
    </sheetView>
  </sheetViews>
  <sheetFormatPr defaultRowHeight="15" x14ac:dyDescent="0.25"/>
  <cols>
    <col min="1" max="1" width="12.140625" customWidth="1"/>
    <col min="2" max="2" width="12.7109375" customWidth="1"/>
    <col min="3" max="3" width="13" customWidth="1"/>
    <col min="4" max="4" width="10.85546875" customWidth="1"/>
    <col min="10" max="10" width="12.85546875" customWidth="1"/>
    <col min="11" max="11" width="12.5703125" customWidth="1"/>
    <col min="12" max="12" width="13.42578125" customWidth="1"/>
    <col min="13" max="13" width="12.85546875" customWidth="1"/>
  </cols>
  <sheetData>
    <row r="1" spans="1:13" ht="16.5" thickTop="1" thickBot="1" x14ac:dyDescent="0.3">
      <c r="A1" s="1" t="s">
        <v>8</v>
      </c>
      <c r="B1" s="1" t="s">
        <v>7</v>
      </c>
      <c r="C1" s="1" t="s">
        <v>5</v>
      </c>
      <c r="D1" s="1" t="s">
        <v>6</v>
      </c>
      <c r="E1" s="1"/>
      <c r="F1" s="1" t="s">
        <v>1</v>
      </c>
      <c r="G1" s="1" t="s">
        <v>10</v>
      </c>
      <c r="H1" s="1" t="s">
        <v>2</v>
      </c>
      <c r="I1" s="1" t="s">
        <v>0</v>
      </c>
      <c r="J1" s="1" t="s">
        <v>9</v>
      </c>
      <c r="K1" s="1" t="s">
        <v>4</v>
      </c>
      <c r="L1" s="1" t="s">
        <v>11</v>
      </c>
      <c r="M1" s="1" t="s">
        <v>3</v>
      </c>
    </row>
    <row r="2" spans="1:13" ht="13.5" customHeight="1" thickTop="1" x14ac:dyDescent="0.25">
      <c r="A2">
        <v>0</v>
      </c>
      <c r="B2">
        <f>A2*$J$2</f>
        <v>0</v>
      </c>
      <c r="C2">
        <f>IF($K$2*A2-$H$2*A2*A2/2&gt;0.001,$K$2*A2-$H$2*A2*A2/2,0)</f>
        <v>0</v>
      </c>
      <c r="D2">
        <f>L2/100</f>
        <v>0.10564042657245742</v>
      </c>
      <c r="F2">
        <v>15</v>
      </c>
      <c r="G2">
        <f>F2*PI()/180</f>
        <v>0.26179938779914941</v>
      </c>
      <c r="H2">
        <v>-9.8000000000000007</v>
      </c>
      <c r="I2">
        <v>200</v>
      </c>
      <c r="J2">
        <f>I2*COS(G2)</f>
        <v>193.18516525781365</v>
      </c>
      <c r="K2">
        <f>I2*SIN(G2)</f>
        <v>51.763809020504148</v>
      </c>
      <c r="L2">
        <f>-K2/H2*2</f>
        <v>10.564042657245743</v>
      </c>
      <c r="M2">
        <f>B102</f>
        <v>2040.8163265306093</v>
      </c>
    </row>
    <row r="3" spans="1:13" x14ac:dyDescent="0.25">
      <c r="A3">
        <f>A2+$D$2</f>
        <v>0.10564042657245742</v>
      </c>
      <c r="B3">
        <f>A3*$J$2</f>
        <v>20.408163265306115</v>
      </c>
      <c r="C3">
        <f>IF(K$2*A3+H$2*A3*A3/2&gt;0.001,K$2*A3+H$2*A3*A3/2,0)</f>
        <v>5.4136673572818648</v>
      </c>
    </row>
    <row r="4" spans="1:13" x14ac:dyDescent="0.25">
      <c r="A4">
        <f t="shared" ref="A4:A67" si="0">A3+$D$2</f>
        <v>0.21128085314491485</v>
      </c>
      <c r="B4">
        <f t="shared" ref="B4:B67" si="1">A4*$J$2</f>
        <v>40.81632653061223</v>
      </c>
      <c r="C4">
        <f t="shared" ref="C4:C67" si="2">IF(K$2*A4+H$2*A4*A4/2&gt;0.001,K$2*A4+H$2*A4*A4/2,0)</f>
        <v>10.717967697244905</v>
      </c>
    </row>
    <row r="5" spans="1:13" x14ac:dyDescent="0.25">
      <c r="A5">
        <f t="shared" si="0"/>
        <v>0.31692127971737227</v>
      </c>
      <c r="B5">
        <f t="shared" si="1"/>
        <v>61.224489795918345</v>
      </c>
      <c r="C5">
        <f t="shared" si="2"/>
        <v>15.912901019889118</v>
      </c>
    </row>
    <row r="6" spans="1:13" x14ac:dyDescent="0.25">
      <c r="A6">
        <f t="shared" si="0"/>
        <v>0.4225617062898297</v>
      </c>
      <c r="B6">
        <f t="shared" si="1"/>
        <v>81.63265306122446</v>
      </c>
      <c r="C6">
        <f t="shared" si="2"/>
        <v>20.998467325214506</v>
      </c>
    </row>
    <row r="7" spans="1:13" x14ac:dyDescent="0.25">
      <c r="A7">
        <f t="shared" si="0"/>
        <v>0.52820213286228712</v>
      </c>
      <c r="B7">
        <f t="shared" si="1"/>
        <v>102.04081632653057</v>
      </c>
      <c r="C7">
        <f t="shared" si="2"/>
        <v>25.974666613221071</v>
      </c>
    </row>
    <row r="8" spans="1:13" x14ac:dyDescent="0.25">
      <c r="A8">
        <f t="shared" si="0"/>
        <v>0.63384255943474455</v>
      </c>
      <c r="B8">
        <f t="shared" si="1"/>
        <v>122.44897959183669</v>
      </c>
      <c r="C8">
        <f t="shared" si="2"/>
        <v>30.841498883908805</v>
      </c>
    </row>
    <row r="9" spans="1:13" x14ac:dyDescent="0.25">
      <c r="A9">
        <f t="shared" si="0"/>
        <v>0.73948298600720197</v>
      </c>
      <c r="B9">
        <f t="shared" si="1"/>
        <v>142.8571428571428</v>
      </c>
      <c r="C9">
        <f t="shared" si="2"/>
        <v>35.598964137277711</v>
      </c>
    </row>
    <row r="10" spans="1:13" x14ac:dyDescent="0.25">
      <c r="A10">
        <f t="shared" si="0"/>
        <v>0.84512341257965939</v>
      </c>
      <c r="B10">
        <f t="shared" si="1"/>
        <v>163.26530612244892</v>
      </c>
      <c r="C10">
        <f t="shared" si="2"/>
        <v>40.247062373327807</v>
      </c>
    </row>
    <row r="11" spans="1:13" x14ac:dyDescent="0.25">
      <c r="A11">
        <f t="shared" si="0"/>
        <v>0.95076383915211682</v>
      </c>
      <c r="B11">
        <f t="shared" si="1"/>
        <v>183.67346938775503</v>
      </c>
      <c r="C11">
        <f t="shared" si="2"/>
        <v>44.785793592059065</v>
      </c>
    </row>
    <row r="12" spans="1:13" x14ac:dyDescent="0.25">
      <c r="A12">
        <f t="shared" si="0"/>
        <v>1.0564042657245742</v>
      </c>
      <c r="B12">
        <f t="shared" si="1"/>
        <v>204.08163265306115</v>
      </c>
      <c r="C12">
        <f t="shared" si="2"/>
        <v>49.215157793471505</v>
      </c>
    </row>
    <row r="13" spans="1:13" x14ac:dyDescent="0.25">
      <c r="A13">
        <f t="shared" si="0"/>
        <v>1.1620446922970316</v>
      </c>
      <c r="B13">
        <f t="shared" si="1"/>
        <v>224.48979591836726</v>
      </c>
      <c r="C13">
        <f t="shared" si="2"/>
        <v>53.535154977565107</v>
      </c>
    </row>
    <row r="14" spans="1:13" x14ac:dyDescent="0.25">
      <c r="A14">
        <f t="shared" si="0"/>
        <v>1.2676851188694891</v>
      </c>
      <c r="B14">
        <f t="shared" si="1"/>
        <v>244.89795918367338</v>
      </c>
      <c r="C14">
        <f t="shared" si="2"/>
        <v>57.745785144339891</v>
      </c>
    </row>
    <row r="15" spans="1:13" x14ac:dyDescent="0.25">
      <c r="A15">
        <f t="shared" si="0"/>
        <v>1.3733255454419466</v>
      </c>
      <c r="B15">
        <f t="shared" si="1"/>
        <v>265.30612244897952</v>
      </c>
      <c r="C15">
        <f t="shared" si="2"/>
        <v>61.847048293795858</v>
      </c>
    </row>
    <row r="16" spans="1:13" x14ac:dyDescent="0.25">
      <c r="A16">
        <f t="shared" si="0"/>
        <v>1.4789659720144042</v>
      </c>
      <c r="B16">
        <f t="shared" si="1"/>
        <v>285.71428571428567</v>
      </c>
      <c r="C16">
        <f t="shared" si="2"/>
        <v>65.838944425932993</v>
      </c>
    </row>
    <row r="17" spans="1:3" x14ac:dyDescent="0.25">
      <c r="A17">
        <f t="shared" si="0"/>
        <v>1.5846063985868617</v>
      </c>
      <c r="B17">
        <f t="shared" si="1"/>
        <v>306.12244897959181</v>
      </c>
      <c r="C17">
        <f t="shared" si="2"/>
        <v>69.721473540751305</v>
      </c>
    </row>
    <row r="18" spans="1:3" x14ac:dyDescent="0.25">
      <c r="A18">
        <f t="shared" si="0"/>
        <v>1.6902468251593192</v>
      </c>
      <c r="B18">
        <f t="shared" si="1"/>
        <v>326.53061224489795</v>
      </c>
      <c r="C18">
        <f t="shared" si="2"/>
        <v>73.494635638250784</v>
      </c>
    </row>
    <row r="19" spans="1:3" x14ac:dyDescent="0.25">
      <c r="A19">
        <f t="shared" si="0"/>
        <v>1.7958872517317768</v>
      </c>
      <c r="B19">
        <f t="shared" si="1"/>
        <v>346.9387755102041</v>
      </c>
      <c r="C19">
        <f t="shared" si="2"/>
        <v>77.158430718431447</v>
      </c>
    </row>
    <row r="20" spans="1:3" x14ac:dyDescent="0.25">
      <c r="A20">
        <f t="shared" si="0"/>
        <v>1.9015276783042343</v>
      </c>
      <c r="B20">
        <f t="shared" si="1"/>
        <v>367.34693877551024</v>
      </c>
      <c r="C20">
        <f t="shared" si="2"/>
        <v>80.712858781293292</v>
      </c>
    </row>
    <row r="21" spans="1:3" x14ac:dyDescent="0.25">
      <c r="A21">
        <f t="shared" si="0"/>
        <v>2.0071681048766918</v>
      </c>
      <c r="B21">
        <f t="shared" si="1"/>
        <v>387.75510204081638</v>
      </c>
      <c r="C21">
        <f t="shared" si="2"/>
        <v>84.157919826836292</v>
      </c>
    </row>
    <row r="22" spans="1:3" x14ac:dyDescent="0.25">
      <c r="A22">
        <f t="shared" si="0"/>
        <v>2.1128085314491494</v>
      </c>
      <c r="B22">
        <f t="shared" si="1"/>
        <v>408.16326530612247</v>
      </c>
      <c r="C22">
        <f t="shared" si="2"/>
        <v>87.493613855060474</v>
      </c>
    </row>
    <row r="23" spans="1:3" x14ac:dyDescent="0.25">
      <c r="A23">
        <f t="shared" si="0"/>
        <v>2.2184489580216069</v>
      </c>
      <c r="B23">
        <f t="shared" si="1"/>
        <v>428.57142857142861</v>
      </c>
      <c r="C23">
        <f t="shared" si="2"/>
        <v>90.719940865965825</v>
      </c>
    </row>
    <row r="24" spans="1:3" x14ac:dyDescent="0.25">
      <c r="A24">
        <f t="shared" si="0"/>
        <v>2.3240893845940644</v>
      </c>
      <c r="B24">
        <f t="shared" si="1"/>
        <v>448.97959183673476</v>
      </c>
      <c r="C24">
        <f t="shared" si="2"/>
        <v>93.836900859552358</v>
      </c>
    </row>
    <row r="25" spans="1:3" x14ac:dyDescent="0.25">
      <c r="A25">
        <f t="shared" si="0"/>
        <v>2.429729811166522</v>
      </c>
      <c r="B25">
        <f t="shared" si="1"/>
        <v>469.3877551020409</v>
      </c>
      <c r="C25">
        <f t="shared" si="2"/>
        <v>96.844493835820074</v>
      </c>
    </row>
    <row r="26" spans="1:3" x14ac:dyDescent="0.25">
      <c r="A26">
        <f t="shared" si="0"/>
        <v>2.5353702377389795</v>
      </c>
      <c r="B26">
        <f t="shared" si="1"/>
        <v>489.79591836734704</v>
      </c>
      <c r="C26">
        <f t="shared" si="2"/>
        <v>99.742719794768959</v>
      </c>
    </row>
    <row r="27" spans="1:3" x14ac:dyDescent="0.25">
      <c r="A27">
        <f t="shared" si="0"/>
        <v>2.6410106643114371</v>
      </c>
      <c r="B27">
        <f t="shared" si="1"/>
        <v>510.20408163265319</v>
      </c>
      <c r="C27">
        <f t="shared" si="2"/>
        <v>102.53157873639898</v>
      </c>
    </row>
    <row r="28" spans="1:3" x14ac:dyDescent="0.25">
      <c r="A28">
        <f t="shared" si="0"/>
        <v>2.7466510908838946</v>
      </c>
      <c r="B28">
        <f t="shared" si="1"/>
        <v>530.61224489795927</v>
      </c>
      <c r="C28">
        <f t="shared" si="2"/>
        <v>105.21107066071022</v>
      </c>
    </row>
    <row r="29" spans="1:3" x14ac:dyDescent="0.25">
      <c r="A29">
        <f t="shared" si="0"/>
        <v>2.8522915174563521</v>
      </c>
      <c r="B29">
        <f t="shared" si="1"/>
        <v>551.02040816326542</v>
      </c>
      <c r="C29">
        <f t="shared" si="2"/>
        <v>107.78119556770262</v>
      </c>
    </row>
    <row r="30" spans="1:3" x14ac:dyDescent="0.25">
      <c r="A30">
        <f t="shared" si="0"/>
        <v>2.9579319440288097</v>
      </c>
      <c r="B30">
        <f t="shared" si="1"/>
        <v>571.42857142857156</v>
      </c>
      <c r="C30">
        <f t="shared" si="2"/>
        <v>110.24195345737621</v>
      </c>
    </row>
    <row r="31" spans="1:3" x14ac:dyDescent="0.25">
      <c r="A31">
        <f t="shared" si="0"/>
        <v>3.0635723706012672</v>
      </c>
      <c r="B31">
        <f t="shared" si="1"/>
        <v>591.8367346938777</v>
      </c>
      <c r="C31">
        <f t="shared" si="2"/>
        <v>112.59334432973097</v>
      </c>
    </row>
    <row r="32" spans="1:3" x14ac:dyDescent="0.25">
      <c r="A32">
        <f t="shared" si="0"/>
        <v>3.1692127971737247</v>
      </c>
      <c r="B32">
        <f t="shared" si="1"/>
        <v>612.24489795918385</v>
      </c>
      <c r="C32">
        <f t="shared" si="2"/>
        <v>114.83536818476688</v>
      </c>
    </row>
    <row r="33" spans="1:3" x14ac:dyDescent="0.25">
      <c r="A33">
        <f t="shared" si="0"/>
        <v>3.2748532237461823</v>
      </c>
      <c r="B33">
        <f t="shared" si="1"/>
        <v>632.65306122448999</v>
      </c>
      <c r="C33">
        <f t="shared" si="2"/>
        <v>116.96802502248397</v>
      </c>
    </row>
    <row r="34" spans="1:3" x14ac:dyDescent="0.25">
      <c r="A34">
        <f t="shared" si="0"/>
        <v>3.3804936503186398</v>
      </c>
      <c r="B34">
        <f t="shared" si="1"/>
        <v>653.06122448979613</v>
      </c>
      <c r="C34">
        <f t="shared" si="2"/>
        <v>118.99131484288225</v>
      </c>
    </row>
    <row r="35" spans="1:3" x14ac:dyDescent="0.25">
      <c r="A35">
        <f t="shared" si="0"/>
        <v>3.4861340768910973</v>
      </c>
      <c r="B35">
        <f t="shared" si="1"/>
        <v>673.46938775510228</v>
      </c>
      <c r="C35">
        <f t="shared" si="2"/>
        <v>120.90523764596171</v>
      </c>
    </row>
    <row r="36" spans="1:3" x14ac:dyDescent="0.25">
      <c r="A36">
        <f t="shared" si="0"/>
        <v>3.5917745034635549</v>
      </c>
      <c r="B36">
        <f t="shared" si="1"/>
        <v>693.87755102040842</v>
      </c>
      <c r="C36">
        <f t="shared" si="2"/>
        <v>122.7097934317223</v>
      </c>
    </row>
    <row r="37" spans="1:3" x14ac:dyDescent="0.25">
      <c r="A37">
        <f t="shared" si="0"/>
        <v>3.6974149300360124</v>
      </c>
      <c r="B37">
        <f t="shared" si="1"/>
        <v>714.28571428571456</v>
      </c>
      <c r="C37">
        <f t="shared" si="2"/>
        <v>124.40498220016411</v>
      </c>
    </row>
    <row r="38" spans="1:3" x14ac:dyDescent="0.25">
      <c r="A38">
        <f t="shared" si="0"/>
        <v>3.8030553566084699</v>
      </c>
      <c r="B38">
        <f t="shared" si="1"/>
        <v>734.69387755102071</v>
      </c>
      <c r="C38">
        <f t="shared" si="2"/>
        <v>125.99080395128709</v>
      </c>
    </row>
    <row r="39" spans="1:3" x14ac:dyDescent="0.25">
      <c r="A39">
        <f t="shared" si="0"/>
        <v>3.9086957831809275</v>
      </c>
      <c r="B39">
        <f t="shared" si="1"/>
        <v>755.10204081632685</v>
      </c>
      <c r="C39">
        <f t="shared" si="2"/>
        <v>127.46725868509122</v>
      </c>
    </row>
    <row r="40" spans="1:3" x14ac:dyDescent="0.25">
      <c r="A40">
        <f t="shared" si="0"/>
        <v>4.0143362097533846</v>
      </c>
      <c r="B40">
        <f t="shared" si="1"/>
        <v>775.51020408163288</v>
      </c>
      <c r="C40">
        <f t="shared" si="2"/>
        <v>128.83434640157654</v>
      </c>
    </row>
    <row r="41" spans="1:3" x14ac:dyDescent="0.25">
      <c r="A41">
        <f t="shared" si="0"/>
        <v>4.1199766363258421</v>
      </c>
      <c r="B41">
        <f t="shared" si="1"/>
        <v>795.91836734693902</v>
      </c>
      <c r="C41">
        <f t="shared" si="2"/>
        <v>130.09206710074307</v>
      </c>
    </row>
    <row r="42" spans="1:3" x14ac:dyDescent="0.25">
      <c r="A42">
        <f t="shared" si="0"/>
        <v>4.2256170628982996</v>
      </c>
      <c r="B42">
        <f t="shared" si="1"/>
        <v>816.32653061224516</v>
      </c>
      <c r="C42">
        <f t="shared" si="2"/>
        <v>131.24042078259069</v>
      </c>
    </row>
    <row r="43" spans="1:3" x14ac:dyDescent="0.25">
      <c r="A43">
        <f t="shared" si="0"/>
        <v>4.3312574894707572</v>
      </c>
      <c r="B43">
        <f t="shared" si="1"/>
        <v>836.73469387755131</v>
      </c>
      <c r="C43">
        <f t="shared" si="2"/>
        <v>132.27940744711952</v>
      </c>
    </row>
    <row r="44" spans="1:3" x14ac:dyDescent="0.25">
      <c r="A44">
        <f t="shared" si="0"/>
        <v>4.4368979160432147</v>
      </c>
      <c r="B44">
        <f t="shared" si="1"/>
        <v>857.14285714285745</v>
      </c>
      <c r="C44">
        <f t="shared" si="2"/>
        <v>133.20902709432957</v>
      </c>
    </row>
    <row r="45" spans="1:3" x14ac:dyDescent="0.25">
      <c r="A45">
        <f t="shared" si="0"/>
        <v>4.5425383426156722</v>
      </c>
      <c r="B45">
        <f t="shared" si="1"/>
        <v>877.55102040816359</v>
      </c>
      <c r="C45">
        <f t="shared" si="2"/>
        <v>134.02927972422077</v>
      </c>
    </row>
    <row r="46" spans="1:3" x14ac:dyDescent="0.25">
      <c r="A46">
        <f t="shared" si="0"/>
        <v>4.6481787691881298</v>
      </c>
      <c r="B46">
        <f t="shared" si="1"/>
        <v>897.95918367346974</v>
      </c>
      <c r="C46">
        <f t="shared" si="2"/>
        <v>134.7401653367931</v>
      </c>
    </row>
    <row r="47" spans="1:3" x14ac:dyDescent="0.25">
      <c r="A47">
        <f t="shared" si="0"/>
        <v>4.7538191957605873</v>
      </c>
      <c r="B47">
        <f t="shared" si="1"/>
        <v>918.36734693877588</v>
      </c>
      <c r="C47">
        <f t="shared" si="2"/>
        <v>135.34168393204664</v>
      </c>
    </row>
    <row r="48" spans="1:3" x14ac:dyDescent="0.25">
      <c r="A48">
        <f t="shared" si="0"/>
        <v>4.8594596223330448</v>
      </c>
      <c r="B48">
        <f t="shared" si="1"/>
        <v>938.77551020408202</v>
      </c>
      <c r="C48">
        <f t="shared" si="2"/>
        <v>135.83383550998136</v>
      </c>
    </row>
    <row r="49" spans="1:3" x14ac:dyDescent="0.25">
      <c r="A49">
        <f t="shared" si="0"/>
        <v>4.9651000489055024</v>
      </c>
      <c r="B49">
        <f t="shared" si="1"/>
        <v>959.18367346938817</v>
      </c>
      <c r="C49">
        <f t="shared" si="2"/>
        <v>136.21662007059726</v>
      </c>
    </row>
    <row r="50" spans="1:3" x14ac:dyDescent="0.25">
      <c r="A50">
        <f t="shared" si="0"/>
        <v>5.0707404754779599</v>
      </c>
      <c r="B50">
        <f t="shared" si="1"/>
        <v>979.59183673469431</v>
      </c>
      <c r="C50">
        <f t="shared" si="2"/>
        <v>136.49003761389429</v>
      </c>
    </row>
    <row r="51" spans="1:3" x14ac:dyDescent="0.25">
      <c r="A51">
        <f t="shared" si="0"/>
        <v>5.1763809020504175</v>
      </c>
      <c r="B51">
        <f t="shared" si="1"/>
        <v>1000.0000000000003</v>
      </c>
      <c r="C51">
        <f t="shared" si="2"/>
        <v>136.65408813987256</v>
      </c>
    </row>
    <row r="52" spans="1:3" x14ac:dyDescent="0.25">
      <c r="A52">
        <f t="shared" si="0"/>
        <v>5.282021328622875</v>
      </c>
      <c r="B52">
        <f t="shared" si="1"/>
        <v>1020.4081632653065</v>
      </c>
      <c r="C52">
        <f t="shared" si="2"/>
        <v>136.70877164853195</v>
      </c>
    </row>
    <row r="53" spans="1:3" x14ac:dyDescent="0.25">
      <c r="A53">
        <f t="shared" si="0"/>
        <v>5.3876617551953325</v>
      </c>
      <c r="B53">
        <f t="shared" si="1"/>
        <v>1040.8163265306127</v>
      </c>
      <c r="C53">
        <f t="shared" si="2"/>
        <v>136.65408813987256</v>
      </c>
    </row>
    <row r="54" spans="1:3" x14ac:dyDescent="0.25">
      <c r="A54">
        <f t="shared" si="0"/>
        <v>5.4933021817677901</v>
      </c>
      <c r="B54">
        <f t="shared" si="1"/>
        <v>1061.2244897959188</v>
      </c>
      <c r="C54">
        <f t="shared" si="2"/>
        <v>136.49003761389429</v>
      </c>
    </row>
    <row r="55" spans="1:3" x14ac:dyDescent="0.25">
      <c r="A55">
        <f t="shared" si="0"/>
        <v>5.5989426083402476</v>
      </c>
      <c r="B55">
        <f t="shared" si="1"/>
        <v>1081.632653061225</v>
      </c>
      <c r="C55">
        <f t="shared" si="2"/>
        <v>136.21662007059723</v>
      </c>
    </row>
    <row r="56" spans="1:3" x14ac:dyDescent="0.25">
      <c r="A56">
        <f t="shared" si="0"/>
        <v>5.7045830349127051</v>
      </c>
      <c r="B56">
        <f t="shared" si="1"/>
        <v>1102.0408163265311</v>
      </c>
      <c r="C56">
        <f t="shared" si="2"/>
        <v>135.83383550998136</v>
      </c>
    </row>
    <row r="57" spans="1:3" x14ac:dyDescent="0.25">
      <c r="A57">
        <f t="shared" si="0"/>
        <v>5.8102234614851627</v>
      </c>
      <c r="B57">
        <f t="shared" si="1"/>
        <v>1122.4489795918373</v>
      </c>
      <c r="C57">
        <f t="shared" si="2"/>
        <v>135.34168393204661</v>
      </c>
    </row>
    <row r="58" spans="1:3" x14ac:dyDescent="0.25">
      <c r="A58">
        <f t="shared" si="0"/>
        <v>5.9158638880576202</v>
      </c>
      <c r="B58">
        <f t="shared" si="1"/>
        <v>1142.8571428571433</v>
      </c>
      <c r="C58">
        <f t="shared" si="2"/>
        <v>134.7401653367931</v>
      </c>
    </row>
    <row r="59" spans="1:3" x14ac:dyDescent="0.25">
      <c r="A59">
        <f t="shared" si="0"/>
        <v>6.0215043146300777</v>
      </c>
      <c r="B59">
        <f t="shared" si="1"/>
        <v>1163.2653061224496</v>
      </c>
      <c r="C59">
        <f t="shared" si="2"/>
        <v>134.02927972422071</v>
      </c>
    </row>
    <row r="60" spans="1:3" x14ac:dyDescent="0.25">
      <c r="A60">
        <f t="shared" si="0"/>
        <v>6.1271447412025353</v>
      </c>
      <c r="B60">
        <f t="shared" si="1"/>
        <v>1183.6734693877556</v>
      </c>
      <c r="C60">
        <f t="shared" si="2"/>
        <v>133.20902709432949</v>
      </c>
    </row>
    <row r="61" spans="1:3" x14ac:dyDescent="0.25">
      <c r="A61">
        <f t="shared" si="0"/>
        <v>6.2327851677749928</v>
      </c>
      <c r="B61">
        <f t="shared" si="1"/>
        <v>1204.0816326530617</v>
      </c>
      <c r="C61">
        <f t="shared" si="2"/>
        <v>132.2794074471195</v>
      </c>
    </row>
    <row r="62" spans="1:3" x14ac:dyDescent="0.25">
      <c r="A62">
        <f t="shared" si="0"/>
        <v>6.3384255943474503</v>
      </c>
      <c r="B62">
        <f t="shared" si="1"/>
        <v>1224.4897959183679</v>
      </c>
      <c r="C62">
        <f t="shared" si="2"/>
        <v>131.24042078259063</v>
      </c>
    </row>
    <row r="63" spans="1:3" x14ac:dyDescent="0.25">
      <c r="A63">
        <f t="shared" si="0"/>
        <v>6.4440660209199079</v>
      </c>
      <c r="B63">
        <f t="shared" si="1"/>
        <v>1244.8979591836739</v>
      </c>
      <c r="C63">
        <f t="shared" si="2"/>
        <v>130.09206710074301</v>
      </c>
    </row>
    <row r="64" spans="1:3" x14ac:dyDescent="0.25">
      <c r="A64">
        <f t="shared" si="0"/>
        <v>6.5497064474923654</v>
      </c>
      <c r="B64">
        <f t="shared" si="1"/>
        <v>1265.3061224489802</v>
      </c>
      <c r="C64">
        <f t="shared" si="2"/>
        <v>128.83434640157648</v>
      </c>
    </row>
    <row r="65" spans="1:3" x14ac:dyDescent="0.25">
      <c r="A65">
        <f t="shared" si="0"/>
        <v>6.6553468740648229</v>
      </c>
      <c r="B65">
        <f t="shared" si="1"/>
        <v>1285.7142857142862</v>
      </c>
      <c r="C65">
        <f t="shared" si="2"/>
        <v>127.46725868509111</v>
      </c>
    </row>
    <row r="66" spans="1:3" x14ac:dyDescent="0.25">
      <c r="A66">
        <f t="shared" si="0"/>
        <v>6.7609873006372805</v>
      </c>
      <c r="B66">
        <f t="shared" si="1"/>
        <v>1306.1224489795925</v>
      </c>
      <c r="C66">
        <f t="shared" si="2"/>
        <v>125.99080395128701</v>
      </c>
    </row>
    <row r="67" spans="1:3" x14ac:dyDescent="0.25">
      <c r="A67">
        <f t="shared" si="0"/>
        <v>6.866627727209738</v>
      </c>
      <c r="B67">
        <f t="shared" si="1"/>
        <v>1326.5306122448985</v>
      </c>
      <c r="C67">
        <f t="shared" si="2"/>
        <v>124.40498220016403</v>
      </c>
    </row>
    <row r="68" spans="1:3" x14ac:dyDescent="0.25">
      <c r="A68">
        <f t="shared" ref="A68:A131" si="3">A67+$D$2</f>
        <v>6.9722681537821956</v>
      </c>
      <c r="B68">
        <f t="shared" ref="B68:B103" si="4">A68*$J$2</f>
        <v>1346.9387755102048</v>
      </c>
      <c r="C68">
        <f t="shared" ref="C68:C103" si="5">IF(K$2*A68+H$2*A68*A68/2&gt;0.001,K$2*A68+H$2*A68*A68/2,0)</f>
        <v>122.70979343172218</v>
      </c>
    </row>
    <row r="69" spans="1:3" x14ac:dyDescent="0.25">
      <c r="A69">
        <f t="shared" si="3"/>
        <v>7.0779085803546531</v>
      </c>
      <c r="B69">
        <f t="shared" si="4"/>
        <v>1367.3469387755108</v>
      </c>
      <c r="C69">
        <f t="shared" si="5"/>
        <v>120.90523764596159</v>
      </c>
    </row>
    <row r="70" spans="1:3" x14ac:dyDescent="0.25">
      <c r="A70">
        <f t="shared" si="3"/>
        <v>7.1835490069271106</v>
      </c>
      <c r="B70">
        <f t="shared" si="4"/>
        <v>1387.7551020408171</v>
      </c>
      <c r="C70">
        <f t="shared" si="5"/>
        <v>118.99131484288213</v>
      </c>
    </row>
    <row r="71" spans="1:3" x14ac:dyDescent="0.25">
      <c r="A71">
        <f t="shared" si="3"/>
        <v>7.2891894334995682</v>
      </c>
      <c r="B71">
        <f t="shared" si="4"/>
        <v>1408.1632653061231</v>
      </c>
      <c r="C71">
        <f t="shared" si="5"/>
        <v>116.96802502248386</v>
      </c>
    </row>
    <row r="72" spans="1:3" x14ac:dyDescent="0.25">
      <c r="A72">
        <f t="shared" si="3"/>
        <v>7.3948298600720257</v>
      </c>
      <c r="B72">
        <f t="shared" si="4"/>
        <v>1428.5714285714294</v>
      </c>
      <c r="C72">
        <f t="shared" si="5"/>
        <v>114.83536818476676</v>
      </c>
    </row>
    <row r="73" spans="1:3" x14ac:dyDescent="0.25">
      <c r="A73">
        <f t="shared" si="3"/>
        <v>7.5004702866444832</v>
      </c>
      <c r="B73">
        <f t="shared" si="4"/>
        <v>1448.9795918367354</v>
      </c>
      <c r="C73">
        <f t="shared" si="5"/>
        <v>112.59334432973083</v>
      </c>
    </row>
    <row r="74" spans="1:3" x14ac:dyDescent="0.25">
      <c r="A74">
        <f t="shared" si="3"/>
        <v>7.6061107132169408</v>
      </c>
      <c r="B74">
        <f t="shared" si="4"/>
        <v>1469.3877551020416</v>
      </c>
      <c r="C74">
        <f t="shared" si="5"/>
        <v>110.24195345737604</v>
      </c>
    </row>
    <row r="75" spans="1:3" x14ac:dyDescent="0.25">
      <c r="A75">
        <f t="shared" si="3"/>
        <v>7.7117511397893983</v>
      </c>
      <c r="B75">
        <f t="shared" si="4"/>
        <v>1489.7959183673477</v>
      </c>
      <c r="C75">
        <f t="shared" si="5"/>
        <v>107.78119556770247</v>
      </c>
    </row>
    <row r="76" spans="1:3" x14ac:dyDescent="0.25">
      <c r="A76">
        <f t="shared" si="3"/>
        <v>7.8173915663618558</v>
      </c>
      <c r="B76">
        <f t="shared" si="4"/>
        <v>1510.2040816326539</v>
      </c>
      <c r="C76">
        <f t="shared" si="5"/>
        <v>105.21107066071011</v>
      </c>
    </row>
    <row r="77" spans="1:3" x14ac:dyDescent="0.25">
      <c r="A77">
        <f t="shared" si="3"/>
        <v>7.9230319929343134</v>
      </c>
      <c r="B77">
        <f t="shared" si="4"/>
        <v>1530.61224489796</v>
      </c>
      <c r="C77">
        <f t="shared" si="5"/>
        <v>102.53157873639879</v>
      </c>
    </row>
    <row r="78" spans="1:3" x14ac:dyDescent="0.25">
      <c r="A78">
        <f t="shared" si="3"/>
        <v>8.0286724195067709</v>
      </c>
      <c r="B78">
        <f t="shared" si="4"/>
        <v>1551.0204081632662</v>
      </c>
      <c r="C78">
        <f t="shared" si="5"/>
        <v>99.742719794768732</v>
      </c>
    </row>
    <row r="79" spans="1:3" x14ac:dyDescent="0.25">
      <c r="A79">
        <f t="shared" si="3"/>
        <v>8.1343128460792276</v>
      </c>
      <c r="B79">
        <f t="shared" si="4"/>
        <v>1571.428571428572</v>
      </c>
      <c r="C79">
        <f t="shared" si="5"/>
        <v>96.84449383581989</v>
      </c>
    </row>
    <row r="80" spans="1:3" x14ac:dyDescent="0.25">
      <c r="A80">
        <f t="shared" si="3"/>
        <v>8.2399532726516842</v>
      </c>
      <c r="B80">
        <f t="shared" si="4"/>
        <v>1591.836734693878</v>
      </c>
      <c r="C80">
        <f t="shared" si="5"/>
        <v>93.836900859552259</v>
      </c>
    </row>
    <row r="81" spans="1:3" x14ac:dyDescent="0.25">
      <c r="A81">
        <f t="shared" si="3"/>
        <v>8.3455936992241408</v>
      </c>
      <c r="B81">
        <f t="shared" si="4"/>
        <v>1612.2448979591841</v>
      </c>
      <c r="C81">
        <f t="shared" si="5"/>
        <v>90.719940865965725</v>
      </c>
    </row>
    <row r="82" spans="1:3" x14ac:dyDescent="0.25">
      <c r="A82">
        <f t="shared" si="3"/>
        <v>8.4512341257965975</v>
      </c>
      <c r="B82">
        <f t="shared" si="4"/>
        <v>1632.6530612244899</v>
      </c>
      <c r="C82">
        <f t="shared" si="5"/>
        <v>87.493613855060346</v>
      </c>
    </row>
    <row r="83" spans="1:3" x14ac:dyDescent="0.25">
      <c r="A83">
        <f t="shared" si="3"/>
        <v>8.5568745523690541</v>
      </c>
      <c r="B83">
        <f t="shared" si="4"/>
        <v>1653.0612244897959</v>
      </c>
      <c r="C83">
        <f t="shared" si="5"/>
        <v>84.157919826836235</v>
      </c>
    </row>
    <row r="84" spans="1:3" x14ac:dyDescent="0.25">
      <c r="A84">
        <f t="shared" si="3"/>
        <v>8.6625149789415108</v>
      </c>
      <c r="B84">
        <f t="shared" si="4"/>
        <v>1673.4693877551019</v>
      </c>
      <c r="C84">
        <f t="shared" si="5"/>
        <v>80.712858781293221</v>
      </c>
    </row>
    <row r="85" spans="1:3" x14ac:dyDescent="0.25">
      <c r="A85">
        <f t="shared" si="3"/>
        <v>8.7681554055139674</v>
      </c>
      <c r="B85">
        <f t="shared" si="4"/>
        <v>1693.877551020408</v>
      </c>
      <c r="C85">
        <f t="shared" si="5"/>
        <v>77.158430718431475</v>
      </c>
    </row>
    <row r="86" spans="1:3" x14ac:dyDescent="0.25">
      <c r="A86">
        <f t="shared" si="3"/>
        <v>8.8737958320864241</v>
      </c>
      <c r="B86">
        <f t="shared" si="4"/>
        <v>1714.2857142857138</v>
      </c>
      <c r="C86">
        <f t="shared" si="5"/>
        <v>73.49463563825077</v>
      </c>
    </row>
    <row r="87" spans="1:3" x14ac:dyDescent="0.25">
      <c r="A87">
        <f t="shared" si="3"/>
        <v>8.9794362586588807</v>
      </c>
      <c r="B87">
        <f t="shared" si="4"/>
        <v>1734.6938775510198</v>
      </c>
      <c r="C87">
        <f t="shared" si="5"/>
        <v>69.72147354075139</v>
      </c>
    </row>
    <row r="88" spans="1:3" x14ac:dyDescent="0.25">
      <c r="A88">
        <f t="shared" si="3"/>
        <v>9.0850766852313374</v>
      </c>
      <c r="B88">
        <f t="shared" si="4"/>
        <v>1755.1020408163258</v>
      </c>
      <c r="C88">
        <f t="shared" si="5"/>
        <v>65.83894442593305</v>
      </c>
    </row>
    <row r="89" spans="1:3" x14ac:dyDescent="0.25">
      <c r="A89">
        <f t="shared" si="3"/>
        <v>9.190717111803794</v>
      </c>
      <c r="B89">
        <f t="shared" si="4"/>
        <v>1775.5102040816316</v>
      </c>
      <c r="C89">
        <f t="shared" si="5"/>
        <v>61.847048293795979</v>
      </c>
    </row>
    <row r="90" spans="1:3" x14ac:dyDescent="0.25">
      <c r="A90">
        <f t="shared" si="3"/>
        <v>9.2963575383762507</v>
      </c>
      <c r="B90">
        <f t="shared" si="4"/>
        <v>1795.9183673469377</v>
      </c>
      <c r="C90">
        <f t="shared" si="5"/>
        <v>57.745785144340061</v>
      </c>
    </row>
    <row r="91" spans="1:3" x14ac:dyDescent="0.25">
      <c r="A91">
        <f t="shared" si="3"/>
        <v>9.4019979649487073</v>
      </c>
      <c r="B91">
        <f t="shared" si="4"/>
        <v>1816.3265306122437</v>
      </c>
      <c r="C91">
        <f t="shared" si="5"/>
        <v>53.535154977565298</v>
      </c>
    </row>
    <row r="92" spans="1:3" x14ac:dyDescent="0.25">
      <c r="A92">
        <f t="shared" si="3"/>
        <v>9.507638391521164</v>
      </c>
      <c r="B92">
        <f t="shared" si="4"/>
        <v>1836.7346938775497</v>
      </c>
      <c r="C92">
        <f t="shared" si="5"/>
        <v>49.215157793471747</v>
      </c>
    </row>
    <row r="93" spans="1:3" x14ac:dyDescent="0.25">
      <c r="A93">
        <f t="shared" si="3"/>
        <v>9.6132788180936206</v>
      </c>
      <c r="B93">
        <f t="shared" si="4"/>
        <v>1857.1428571428555</v>
      </c>
      <c r="C93">
        <f t="shared" si="5"/>
        <v>44.785793592059292</v>
      </c>
    </row>
    <row r="94" spans="1:3" x14ac:dyDescent="0.25">
      <c r="A94">
        <f t="shared" si="3"/>
        <v>9.7189192446660773</v>
      </c>
      <c r="B94">
        <f t="shared" si="4"/>
        <v>1877.5510204081615</v>
      </c>
      <c r="C94">
        <f t="shared" si="5"/>
        <v>40.247062373328163</v>
      </c>
    </row>
    <row r="95" spans="1:3" x14ac:dyDescent="0.25">
      <c r="A95">
        <f t="shared" si="3"/>
        <v>9.8245596712385339</v>
      </c>
      <c r="B95">
        <f t="shared" si="4"/>
        <v>1897.9591836734676</v>
      </c>
      <c r="C95">
        <f t="shared" si="5"/>
        <v>35.598964137278017</v>
      </c>
    </row>
    <row r="96" spans="1:3" x14ac:dyDescent="0.25">
      <c r="A96">
        <f t="shared" si="3"/>
        <v>9.9302000978109906</v>
      </c>
      <c r="B96">
        <f t="shared" si="4"/>
        <v>1918.3673469387734</v>
      </c>
      <c r="C96">
        <f t="shared" si="5"/>
        <v>30.841498883909253</v>
      </c>
    </row>
    <row r="97" spans="1:3" x14ac:dyDescent="0.25">
      <c r="A97">
        <f t="shared" si="3"/>
        <v>10.035840524383447</v>
      </c>
      <c r="B97">
        <f t="shared" si="4"/>
        <v>1938.7755102040794</v>
      </c>
      <c r="C97">
        <f t="shared" si="5"/>
        <v>25.974666613221473</v>
      </c>
    </row>
    <row r="98" spans="1:3" x14ac:dyDescent="0.25">
      <c r="A98">
        <f t="shared" si="3"/>
        <v>10.141480950955904</v>
      </c>
      <c r="B98">
        <f t="shared" si="4"/>
        <v>1959.1836734693854</v>
      </c>
      <c r="C98">
        <f t="shared" si="5"/>
        <v>20.998467325214961</v>
      </c>
    </row>
    <row r="99" spans="1:3" x14ac:dyDescent="0.25">
      <c r="A99">
        <f t="shared" si="3"/>
        <v>10.24712137752836</v>
      </c>
      <c r="B99">
        <f t="shared" si="4"/>
        <v>1979.5918367346915</v>
      </c>
      <c r="C99">
        <f t="shared" si="5"/>
        <v>15.912901019889659</v>
      </c>
    </row>
    <row r="100" spans="1:3" x14ac:dyDescent="0.25">
      <c r="A100">
        <f t="shared" si="3"/>
        <v>10.352761804100817</v>
      </c>
      <c r="B100">
        <f t="shared" si="4"/>
        <v>1999.9999999999973</v>
      </c>
      <c r="C100">
        <f t="shared" si="5"/>
        <v>10.717967697245513</v>
      </c>
    </row>
    <row r="101" spans="1:3" x14ac:dyDescent="0.25">
      <c r="A101">
        <f t="shared" si="3"/>
        <v>10.458402230673274</v>
      </c>
      <c r="B101">
        <f t="shared" si="4"/>
        <v>2020.4081632653033</v>
      </c>
      <c r="C101">
        <f t="shared" si="5"/>
        <v>5.4136673572824066</v>
      </c>
    </row>
    <row r="102" spans="1:3" x14ac:dyDescent="0.25">
      <c r="A102">
        <f t="shared" si="3"/>
        <v>10.56404265724573</v>
      </c>
      <c r="B102">
        <f t="shared" si="4"/>
        <v>2040.8163265306093</v>
      </c>
      <c r="C102">
        <f t="shared" si="5"/>
        <v>0</v>
      </c>
    </row>
    <row r="103" spans="1:3" x14ac:dyDescent="0.25">
      <c r="A103">
        <f t="shared" si="3"/>
        <v>10.669683083818187</v>
      </c>
      <c r="B103">
        <f t="shared" si="4"/>
        <v>2061.2244897959154</v>
      </c>
      <c r="C103">
        <f t="shared" si="5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C1DE-A18A-4BEB-89C7-027D048BCB48}">
  <dimension ref="A1"/>
  <sheetViews>
    <sheetView workbookViewId="0">
      <selection activeCell="M12" sqref="M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задача</vt:lpstr>
      <vt:lpstr>45 град</vt:lpstr>
      <vt:lpstr>30 град</vt:lpstr>
      <vt:lpstr>15 град</vt:lpstr>
      <vt:lpstr>общий 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2022-10-22T13:52:06Z</dcterms:modified>
</cp:coreProperties>
</file>